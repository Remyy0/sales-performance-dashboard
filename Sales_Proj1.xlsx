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G:\mariam.1\Data Analysis\1- Excel\Projects\"/>
    </mc:Choice>
  </mc:AlternateContent>
  <xr:revisionPtr revIDLastSave="0" documentId="13_ncr:1_{E1B22775-69CC-479F-A5BC-29F54754809C}" xr6:coauthVersionLast="47" xr6:coauthVersionMax="47" xr10:uidLastSave="{00000000-0000-0000-0000-000000000000}"/>
  <bookViews>
    <workbookView xWindow="-120" yWindow="-120" windowWidth="29040" windowHeight="15750" activeTab="1" xr2:uid="{8678760E-27FA-4BA3-A2E6-726762F4F6F7}"/>
  </bookViews>
  <sheets>
    <sheet name="Conclusions" sheetId="1" r:id="rId1"/>
    <sheet name="Dashboard" sheetId="4" r:id="rId2"/>
  </sheets>
  <definedNames>
    <definedName name="Slicer_BranchName">#N/A</definedName>
    <definedName name="Slicer_Brand1">#N/A</definedName>
    <definedName name="Slicer_Category">#N/A</definedName>
    <definedName name="Slicer_Date__Month_1">#N/A</definedName>
    <definedName name="Slicer_PaymentMethod">#N/A</definedName>
  </definedNames>
  <calcPr calcId="181029"/>
  <pivotCaches>
    <pivotCache cacheId="371" r:id="rId3"/>
    <pivotCache cacheId="374" r:id="rId4"/>
    <pivotCache cacheId="377" r:id="rId5"/>
    <pivotCache cacheId="380" r:id="rId6"/>
    <pivotCache cacheId="383" r:id="rId7"/>
    <pivotCache cacheId="386" r:id="rId8"/>
    <pivotCache cacheId="389"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ds_2279b79b-a53f-4a93-85d1-0002d7c58a2a" name="Brands" connection="Query - Brands"/>
          <x15:modelTable id="Customers_fac35d4d-8943-4df8-a4e0-291c65679139" name="Customers" connection="Query - Customers"/>
          <x15:modelTable id="PaymentMethods_6f4c3fef-75c4-4cfa-bc33-6ea4542dc64f" name="PaymentMethods" connection="Query - PaymentMethods"/>
          <x15:modelTable id="Products_693ea591-214c-433e-ac8c-5b0d4decb551" name="Products" connection="Query - Products"/>
          <x15:modelTable id="Sales_3acbc55e-2a98-4a86-9b12-056d97208fda" name="Sales" connection="Query - Sales"/>
          <x15:modelTable id="Branches_fabf86e1-9b5d-4a35-98a9-51198e3471ed" name="Branches" connection="Query - Branches"/>
          <x15:modelTable id="Calendar" name="Calendar" connection="Connection"/>
        </x15:modelTables>
        <x15:modelRelationships>
          <x15:modelRelationship fromTable="Products" fromColumn="Brand" toTable="Brands" toColumn="BrandID"/>
          <x15:modelRelationship fromTable="Sales" fromColumn="BranchID" toTable="Branches" toColumn="BranchID"/>
          <x15:modelRelationship fromTable="Sales" fromColumn="CustomerID" toTable="Customers" toColumn="CustomerID"/>
          <x15:modelRelationship fromTable="Sales" fromColumn="ProductID" toTable="Products" toColumn="ProductID"/>
          <x15:modelRelationship fromTable="Sales" fromColumn="PaymentMethod" toTable="PaymentMethods" toColumn="PaymentMethod"/>
          <x15:modelRelationship fromTable="Sales" fromColumn="Date" toTable="Calendar" toColumn="Date"/>
        </x15:modelRelationship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s)" columnId="Date (Month)1"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D57B61-D586-49BC-B76A-B0F638811A0F}" name="Connection" type="104" refreshedVersion="0" background="1">
    <extLst>
      <ext xmlns:x15="http://schemas.microsoft.com/office/spreadsheetml/2010/11/main" uri="{DE250136-89BD-433C-8126-D09CA5730AF9}">
        <x15:connection id="Calendar"/>
      </ext>
    </extLst>
  </connection>
  <connection id="2" xr16:uid="{3DAB8350-CFC0-424D-A59F-60EFA519DE27}" name="Query - Branches" description="Connection to the 'Branches' query in the workbook." type="100" refreshedVersion="8" minRefreshableVersion="5">
    <extLst>
      <ext xmlns:x15="http://schemas.microsoft.com/office/spreadsheetml/2010/11/main" uri="{DE250136-89BD-433C-8126-D09CA5730AF9}">
        <x15:connection id="27e18b9e-9d3c-443d-923f-d693c66012f8"/>
      </ext>
    </extLst>
  </connection>
  <connection id="3" xr16:uid="{98F7AD47-0237-4BD1-B522-55E05395D8B7}" name="Query - Brands" description="Connection to the 'Brands' query in the workbook." type="100" refreshedVersion="8" minRefreshableVersion="5">
    <extLst>
      <ext xmlns:x15="http://schemas.microsoft.com/office/spreadsheetml/2010/11/main" uri="{DE250136-89BD-433C-8126-D09CA5730AF9}">
        <x15:connection id="9a088c56-d728-4f43-bbd2-41c5dbf3f214"/>
      </ext>
    </extLst>
  </connection>
  <connection id="4" xr16:uid="{4AAE9396-3C57-4453-BE27-CF89EDAEA0FC}" name="Query - Customers" description="Connection to the 'Customers' query in the workbook." type="100" refreshedVersion="8" minRefreshableVersion="5">
    <extLst>
      <ext xmlns:x15="http://schemas.microsoft.com/office/spreadsheetml/2010/11/main" uri="{DE250136-89BD-433C-8126-D09CA5730AF9}">
        <x15:connection id="c83130ea-56b3-428c-8ef2-4c568d64fe25"/>
      </ext>
    </extLst>
  </connection>
  <connection id="5" xr16:uid="{EA78A6B5-830E-4E38-BE2C-55E06A051047}" name="Query - PaymentMethods" description="Connection to the 'PaymentMethods' query in the workbook." type="100" refreshedVersion="8" minRefreshableVersion="5">
    <extLst>
      <ext xmlns:x15="http://schemas.microsoft.com/office/spreadsheetml/2010/11/main" uri="{DE250136-89BD-433C-8126-D09CA5730AF9}">
        <x15:connection id="60b7e795-1a93-4d8a-adb0-612d60ba35cd"/>
      </ext>
    </extLst>
  </connection>
  <connection id="6" xr16:uid="{2BFCA495-4FB7-4532-8241-295CD00DC5B6}" name="Query - Products" description="Connection to the 'Products' query in the workbook." type="100" refreshedVersion="8" minRefreshableVersion="5">
    <extLst>
      <ext xmlns:x15="http://schemas.microsoft.com/office/spreadsheetml/2010/11/main" uri="{DE250136-89BD-433C-8126-D09CA5730AF9}">
        <x15:connection id="d87630ff-9be6-4df4-809b-7ce756b9ab74"/>
      </ext>
    </extLst>
  </connection>
  <connection id="7" xr16:uid="{FA987F76-8DD2-454F-BFE9-B30051623AB9}" name="Query - Sales" description="Connection to the 'Sales' query in the workbook." type="100" refreshedVersion="8" minRefreshableVersion="5">
    <extLst>
      <ext xmlns:x15="http://schemas.microsoft.com/office/spreadsheetml/2010/11/main" uri="{DE250136-89BD-433C-8126-D09CA5730AF9}">
        <x15:connection id="03b3c723-dc81-4998-a219-1fca6ee3ac67"/>
      </ext>
    </extLst>
  </connection>
  <connection id="8" xr16:uid="{DC8280A1-35E8-456D-867A-C302D46EF19D}" keepAlive="1" name="Query - Sales 2023" description="Connection to the 'Sales 2023' query in the workbook." type="5" refreshedVersion="0" background="1">
    <dbPr connection="Provider=Microsoft.Mashup.OleDb.1;Data Source=$Workbook$;Location=&quot;Sales 2023&quot;;Extended Properties=&quot;&quot;" command="SELECT * FROM [Sales 2023]"/>
  </connection>
  <connection id="9" xr16:uid="{EBB1DCFF-242A-4A15-A290-7DF49CDCB69A}" keepAlive="1" name="Query - Sales 2024" description="Connection to the 'Sales 2024' query in the workbook." type="5" refreshedVersion="0" background="1">
    <dbPr connection="Provider=Microsoft.Mashup.OleDb.1;Data Source=$Workbook$;Location=&quot;Sales 2024&quot;;Extended Properties=&quot;&quot;" command="SELECT * FROM [Sales 2024]"/>
  </connection>
  <connection id="10" xr16:uid="{45517B00-FFFD-486C-911E-E15BE4EE3EC8}"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<sst xmlns="http://schemas.openxmlformats.org/spreadsheetml/2006/main" count="74" uniqueCount="40">
  <si>
    <t>Total Sales</t>
  </si>
  <si>
    <t>Active Customers</t>
  </si>
  <si>
    <t>Branch 1</t>
  </si>
  <si>
    <t>Branch 2</t>
  </si>
  <si>
    <t>Branch 3</t>
  </si>
  <si>
    <t>Branch 4</t>
  </si>
  <si>
    <t>Branch 5</t>
  </si>
  <si>
    <t>Grand Total</t>
  </si>
  <si>
    <t>Cash</t>
  </si>
  <si>
    <t>Credit Card</t>
  </si>
  <si>
    <t>Bank Transfer</t>
  </si>
  <si>
    <t>PayPal</t>
  </si>
  <si>
    <t>Beauty</t>
  </si>
  <si>
    <t>Home</t>
  </si>
  <si>
    <t>Sports</t>
  </si>
  <si>
    <t>Brand A</t>
  </si>
  <si>
    <t>Brand B</t>
  </si>
  <si>
    <t>Brand C</t>
  </si>
  <si>
    <t>Brand D</t>
  </si>
  <si>
    <t>Brand E</t>
  </si>
  <si>
    <t>Brand</t>
  </si>
  <si>
    <t>Dec</t>
  </si>
  <si>
    <t>Jan</t>
  </si>
  <si>
    <t>Feb</t>
  </si>
  <si>
    <t>Mar</t>
  </si>
  <si>
    <t>Apr</t>
  </si>
  <si>
    <t>May</t>
  </si>
  <si>
    <t>Jun</t>
  </si>
  <si>
    <t>Jul</t>
  </si>
  <si>
    <t>Aug</t>
  </si>
  <si>
    <t>Sep</t>
  </si>
  <si>
    <t>Oct</t>
  </si>
  <si>
    <t>Nov</t>
  </si>
  <si>
    <t>Month</t>
  </si>
  <si>
    <t>Branch</t>
  </si>
  <si>
    <t>Category</t>
  </si>
  <si>
    <t>Payment Method</t>
  </si>
  <si>
    <t>Electronics</t>
  </si>
  <si>
    <t>Fashion</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</si>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</sst>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5" tint="-0.499984740745262"/>
      <name val="Aptos Narrow"/>
      <family val="2"/>
      <scheme val="minor"/>
    </font>
    <font>
      <sz val="8"/>
      <name val="Aptos Narrow"/>
      <family val="2"/>
      <scheme val="minor"/>
    </font>
    <font>
      <sz val="28"/>
      <color theme="0" tint="-4.9989318521683403E-2"/>
      <name val="Arial Rounded MT Bold"/>
      <family val="2"/>
    </font>
  </fonts>
  <fills count="6">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0" xfId="0" pivotButton="1" applyAlignment="1">
      <alignment horizontal="center" vertical="center"/>
    </xf>
    <xf numFmtId="0"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2" borderId="0" xfId="0" applyNumberFormat="1" applyFill="1" applyAlignment="1">
      <alignment horizontal="center" vertical="center"/>
    </xf>
    <xf numFmtId="0" fontId="0" fillId="0" borderId="0" xfId="0" applyAlignment="1">
      <alignment horizontal="center" vertical="center" indent="1"/>
    </xf>
    <xf numFmtId="0" fontId="1" fillId="3" borderId="0" xfId="0" applyFont="1" applyFill="1"/>
    <xf numFmtId="0" fontId="1" fillId="4" borderId="0" xfId="0" applyFont="1" applyFill="1"/>
    <xf numFmtId="0" fontId="3" fillId="3" borderId="0" xfId="0" applyFont="1" applyFill="1" applyAlignment="1">
      <alignment vertical="center"/>
    </xf>
    <xf numFmtId="0" fontId="3" fillId="5" borderId="0" xfId="0" applyFont="1" applyFill="1" applyAlignment="1">
      <alignment horizontal="center" vertical="center"/>
    </xf>
  </cellXfs>
  <cellStyles count="1">
    <cellStyle name="Normal" xfId="0" builtinId="0"/>
  </cellStyles>
  <dxfs count="464">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4" tint="0.7999816888943144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ill>
        <patternFill patternType="solid">
          <bgColor theme="4" tint="0.79998168889431442"/>
        </patternFill>
      </fill>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3.xml"/><Relationship Id="rId15" Type="http://schemas.microsoft.com/office/2007/relationships/slicerCache" Target="slicerCaches/slicerCache5.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[Sales_Proj1.xlsx]Conclusions!Months</c:name>
    <c:fmtId val="3"/>
  </c:pivotSource>
  <c:chart>
    <c:title>
      <c:tx>
        <c:rich>
          <a:bodyPr rot="0" spcFirstLastPara="1" vertOverflow="ellipsis" vert="horz" wrap="square" anchor="ctr" anchorCtr="1"/>
          <a:lstStyle/>
          <a:p>
            <a:pPr algn="ctr" rtl="0">
              <a:defRPr lang="en-US" sz="1600" b="1" i="0" u="none" strike="noStrike" kern="1200" spc="0" baseline="0">
                <a:solidFill>
                  <a:schemeClr val="tx1">
                    <a:lumMod val="50000"/>
                    <a:lumOff val="50000"/>
                  </a:schemeClr>
                </a:solidFill>
                <a:latin typeface="Aptos Display" panose="020B0004020202020204" pitchFamily="34" charset="0"/>
                <a:ea typeface="+mn-ea"/>
                <a:cs typeface="+mn-cs"/>
              </a:defRPr>
            </a:pPr>
            <a:r>
              <a:rPr lang="en-US" sz="1600" b="1" i="0" u="none" strike="noStrike" kern="1200" spc="0" baseline="0">
                <a:solidFill>
                  <a:schemeClr val="tx1">
                    <a:lumMod val="50000"/>
                    <a:lumOff val="50000"/>
                  </a:schemeClr>
                </a:solidFill>
                <a:latin typeface="Aptos Display" panose="020B0004020202020204" pitchFamily="34" charset="0"/>
                <a:ea typeface="+mn-ea"/>
                <a:cs typeface="+mn-cs"/>
              </a:rPr>
              <a:t>Sales by Month</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50000"/>
                  <a:lumOff val="50000"/>
                </a:schemeClr>
              </a:solidFill>
              <a:latin typeface="Aptos Display"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c:spPr>
        </c:marker>
        <c:dLbl>
          <c:idx val="0"/>
          <c:numFmt formatCode="#,##0" sourceLinked="0"/>
          <c:spPr>
            <a:noFill/>
            <a:ln>
              <a:noFill/>
            </a:ln>
            <a:effectLst>
              <a:glow rad="127000">
                <a:schemeClr val="accent2">
                  <a:lumMod val="40000"/>
                  <a:lumOff val="60000"/>
                </a:schemeClr>
              </a:glow>
              <a:softEdge rad="25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Impact" panose="020B080603090205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3"/>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4"/>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6"/>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1">
                  <a:lumMod val="60000"/>
                </a:schemeClr>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2">
                  <a:lumMod val="60000"/>
                </a:schemeClr>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3">
                  <a:lumMod val="60000"/>
                </a:schemeClr>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4">
                  <a:lumMod val="60000"/>
                </a:schemeClr>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lumMod val="60000"/>
                </a:schemeClr>
              </a:solid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6">
                  <a:lumMod val="60000"/>
                </a:schemeClr>
              </a:solidFill>
              <a:round/>
            </a:ln>
            <a:effectLst>
              <a:outerShdw blurRad="57150" dist="19050" dir="5400000" algn="ctr" rotWithShape="0">
                <a:srgbClr val="000000">
                  <a:alpha val="63000"/>
                </a:srgbClr>
              </a:outerShdw>
            </a:effectLst>
          </c:spPr>
        </c:marker>
      </c:pivotFmt>
      <c:pivotFmt>
        <c:idx val="15"/>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1"/>
              </a:solidFill>
              <a:round/>
            </a:ln>
            <a:effectLst>
              <a:outerShdw blurRad="57150" dist="19050" dir="5400000" algn="ctr" rotWithShape="0">
                <a:srgbClr val="000000">
                  <a:alpha val="63000"/>
                </a:srgbClr>
              </a:outerShdw>
            </a:effectLst>
          </c:spPr>
        </c:marker>
      </c:pivotFmt>
      <c:pivotFmt>
        <c:idx val="16"/>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2"/>
              </a:solidFill>
              <a:round/>
            </a:ln>
            <a:effectLst>
              <a:outerShdw blurRad="57150" dist="19050" dir="5400000" algn="ctr" rotWithShape="0">
                <a:srgbClr val="000000">
                  <a:alpha val="63000"/>
                </a:srgbClr>
              </a:outerShdw>
            </a:effectLst>
          </c:spPr>
        </c:marker>
      </c:pivotFmt>
      <c:pivotFmt>
        <c:idx val="17"/>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3"/>
              </a:solidFill>
              <a:round/>
            </a:ln>
            <a:effectLst>
              <a:outerShdw blurRad="57150" dist="19050" dir="5400000" algn="ctr" rotWithShape="0">
                <a:srgbClr val="000000">
                  <a:alpha val="63000"/>
                </a:srgbClr>
              </a:outerShdw>
            </a:effectLst>
          </c:spPr>
        </c:marker>
      </c:pivotFmt>
      <c:pivotFmt>
        <c:idx val="18"/>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4"/>
              </a:solidFill>
              <a:round/>
            </a:ln>
            <a:effectLst>
              <a:outerShdw blurRad="57150" dist="19050" dir="5400000" algn="ctr" rotWithShape="0">
                <a:srgbClr val="000000">
                  <a:alpha val="63000"/>
                </a:srgbClr>
              </a:outerShdw>
            </a:effectLst>
          </c:spPr>
        </c:marker>
      </c:pivotFmt>
      <c:pivotFmt>
        <c:idx val="19"/>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solidFill>
              <a:round/>
            </a:ln>
            <a:effectLst>
              <a:outerShdw blurRad="57150" dist="19050" dir="5400000" algn="ctr" rotWithShape="0">
                <a:srgbClr val="000000">
                  <a:alpha val="63000"/>
                </a:srgbClr>
              </a:outerShdw>
            </a:effectLst>
          </c:spPr>
        </c:marker>
      </c:pivotFmt>
      <c:pivotFmt>
        <c:idx val="2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6"/>
              </a:solidFill>
              <a:round/>
            </a:ln>
            <a:effectLst>
              <a:outerShdw blurRad="57150" dist="19050" dir="5400000" algn="ctr" rotWithShape="0">
                <a:srgbClr val="000000">
                  <a:alpha val="63000"/>
                </a:srgbClr>
              </a:outerShdw>
            </a:effectLst>
          </c:spPr>
        </c:marker>
      </c:pivotFmt>
      <c:pivotFmt>
        <c:idx val="21"/>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1">
                  <a:lumMod val="60000"/>
                </a:schemeClr>
              </a:solidFill>
              <a:round/>
            </a:ln>
            <a:effectLst>
              <a:outerShdw blurRad="57150" dist="19050" dir="5400000" algn="ctr" rotWithShape="0">
                <a:srgbClr val="000000">
                  <a:alpha val="63000"/>
                </a:srgbClr>
              </a:outerShdw>
            </a:effectLst>
          </c:spPr>
        </c:marker>
      </c:pivotFmt>
      <c:pivotFmt>
        <c:idx val="22"/>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2">
                  <a:lumMod val="60000"/>
                </a:schemeClr>
              </a:solidFill>
              <a:round/>
            </a:ln>
            <a:effectLst>
              <a:outerShdw blurRad="57150" dist="19050" dir="5400000" algn="ctr" rotWithShape="0">
                <a:srgbClr val="000000">
                  <a:alpha val="63000"/>
                </a:srgbClr>
              </a:outerShdw>
            </a:effectLst>
          </c:spPr>
        </c:marker>
      </c:pivotFmt>
      <c:pivotFmt>
        <c:idx val="23"/>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3">
                  <a:lumMod val="60000"/>
                </a:schemeClr>
              </a:solidFill>
              <a:round/>
            </a:ln>
            <a:effectLst>
              <a:outerShdw blurRad="57150" dist="19050" dir="5400000" algn="ctr" rotWithShape="0">
                <a:srgbClr val="000000">
                  <a:alpha val="63000"/>
                </a:srgbClr>
              </a:outerShdw>
            </a:effectLst>
          </c:spPr>
        </c:marker>
      </c:pivotFmt>
      <c:pivotFmt>
        <c:idx val="24"/>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4">
                  <a:lumMod val="60000"/>
                </a:schemeClr>
              </a:solidFill>
              <a:round/>
            </a:ln>
            <a:effectLst>
              <a:outerShdw blurRad="57150" dist="19050" dir="5400000" algn="ctr" rotWithShape="0">
                <a:srgbClr val="000000">
                  <a:alpha val="63000"/>
                </a:srgbClr>
              </a:outerShdw>
            </a:effectLst>
          </c:spPr>
        </c:marker>
      </c:pivotFmt>
      <c:pivotFmt>
        <c:idx val="25"/>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5">
                  <a:lumMod val="60000"/>
                </a:schemeClr>
              </a:solidFill>
              <a:round/>
            </a:ln>
            <a:effectLst>
              <a:outerShdw blurRad="57150" dist="19050" dir="5400000" algn="ctr" rotWithShape="0">
                <a:srgbClr val="000000">
                  <a:alpha val="63000"/>
                </a:srgbClr>
              </a:outerShdw>
            </a:effectLst>
          </c:spPr>
        </c:marker>
      </c:pivotFmt>
      <c:pivotFmt>
        <c:idx val="26"/>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solidFill>
                <a:schemeClr val="accent6">
                  <a:lumMod val="60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1"/>
        <c:ser>
          <c:idx val="0"/>
          <c:order val="0"/>
          <c:tx>
            <c:strRef>
              <c:f>Conclusions!$I$2</c:f>
              <c:strCache>
                <c:ptCount val="1"/>
                <c:pt idx="0">
                  <c:v>Total</c:v>
                </c:pt>
              </c:strCache>
            </c:strRef>
          </c:tx>
          <c:spPr>
            <a:ln>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ln>
          </c:spPr>
          <c:marker>
            <c:symbol val="circle"/>
            <c:size val="6"/>
            <c:spPr>
              <a:solidFill>
                <a:schemeClr val="accent5">
                  <a:lumMod val="75000"/>
                </a:schemeClr>
              </a:solidFill>
            </c:spPr>
          </c:marker>
          <c:dPt>
            <c:idx val="0"/>
            <c:marker>
              <c:symbol val="circle"/>
              <c:size val="6"/>
              <c:spPr>
                <a:solidFill>
                  <a:schemeClr val="accent5">
                    <a:lumMod val="75000"/>
                  </a:schemeClr>
                </a:soli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46-4C9C-9900-BE5B3F0F1DE7}"/>
              </c:ext>
            </c:extLst>
          </c:dPt>
          <c:dPt>
            <c:idx val="1"/>
            <c:marker>
              <c:symbol val="circle"/>
              <c:size val="6"/>
              <c:spPr>
                <a:solidFill>
                  <a:schemeClr val="accent5">
                    <a:lumMod val="75000"/>
                  </a:schemeClr>
                </a:solidFill>
                <a:ln w="9525">
                  <a:solidFill>
                    <a:schemeClr val="accent2"/>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46-4C9C-9900-BE5B3F0F1DE7}"/>
              </c:ext>
            </c:extLst>
          </c:dPt>
          <c:dPt>
            <c:idx val="2"/>
            <c:marker>
              <c:symbol val="circle"/>
              <c:size val="6"/>
              <c:spPr>
                <a:solidFill>
                  <a:schemeClr val="accent5">
                    <a:lumMod val="75000"/>
                  </a:schemeClr>
                </a:solidFill>
                <a:ln w="9525">
                  <a:solidFill>
                    <a:schemeClr val="accent3"/>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46-4C9C-9900-BE5B3F0F1DE7}"/>
              </c:ext>
            </c:extLst>
          </c:dPt>
          <c:dPt>
            <c:idx val="3"/>
            <c:marker>
              <c:symbol val="circle"/>
              <c:size val="6"/>
              <c:spPr>
                <a:solidFill>
                  <a:schemeClr val="accent5">
                    <a:lumMod val="75000"/>
                  </a:schemeClr>
                </a:solidFill>
                <a:ln w="9525">
                  <a:solidFill>
                    <a:schemeClr val="accent4"/>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646-4C9C-9900-BE5B3F0F1DE7}"/>
              </c:ext>
            </c:extLst>
          </c:dPt>
          <c:dPt>
            <c:idx val="4"/>
            <c:marker>
              <c:symbol val="circle"/>
              <c:size val="6"/>
              <c:spPr>
                <a:solidFill>
                  <a:schemeClr val="accent5">
                    <a:lumMod val="75000"/>
                  </a:schemeClr>
                </a:solidFill>
                <a:ln w="9525">
                  <a:solidFill>
                    <a:schemeClr val="accent5"/>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646-4C9C-9900-BE5B3F0F1DE7}"/>
              </c:ext>
            </c:extLst>
          </c:dPt>
          <c:dPt>
            <c:idx val="5"/>
            <c:marker>
              <c:symbol val="circle"/>
              <c:size val="6"/>
              <c:spPr>
                <a:solidFill>
                  <a:schemeClr val="accent5">
                    <a:lumMod val="75000"/>
                  </a:schemeClr>
                </a:solidFill>
                <a:ln w="9525">
                  <a:solidFill>
                    <a:schemeClr val="accent6"/>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646-4C9C-9900-BE5B3F0F1DE7}"/>
              </c:ext>
            </c:extLst>
          </c:dPt>
          <c:dPt>
            <c:idx val="6"/>
            <c:marker>
              <c:symbol val="circle"/>
              <c:size val="6"/>
              <c:spPr>
                <a:solidFill>
                  <a:schemeClr val="accent5">
                    <a:lumMod val="75000"/>
                  </a:schemeClr>
                </a:solidFill>
                <a:ln w="9525">
                  <a:solidFill>
                    <a:schemeClr val="accent1">
                      <a:lumMod val="60000"/>
                    </a:schemeClr>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646-4C9C-9900-BE5B3F0F1DE7}"/>
              </c:ext>
            </c:extLst>
          </c:dPt>
          <c:dPt>
            <c:idx val="7"/>
            <c:marker>
              <c:symbol val="circle"/>
              <c:size val="6"/>
              <c:spPr>
                <a:solidFill>
                  <a:schemeClr val="accent5">
                    <a:lumMod val="75000"/>
                  </a:schemeClr>
                </a:solidFill>
                <a:ln w="9525">
                  <a:solidFill>
                    <a:schemeClr val="accent2">
                      <a:lumMod val="60000"/>
                    </a:schemeClr>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646-4C9C-9900-BE5B3F0F1DE7}"/>
              </c:ext>
            </c:extLst>
          </c:dPt>
          <c:dPt>
            <c:idx val="8"/>
            <c:marker>
              <c:symbol val="circle"/>
              <c:size val="6"/>
              <c:spPr>
                <a:solidFill>
                  <a:schemeClr val="accent5">
                    <a:lumMod val="75000"/>
                  </a:schemeClr>
                </a:solidFill>
                <a:ln w="9525">
                  <a:solidFill>
                    <a:schemeClr val="accent3">
                      <a:lumMod val="60000"/>
                    </a:schemeClr>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646-4C9C-9900-BE5B3F0F1DE7}"/>
              </c:ext>
            </c:extLst>
          </c:dPt>
          <c:dPt>
            <c:idx val="9"/>
            <c:marker>
              <c:symbol val="circle"/>
              <c:size val="6"/>
              <c:spPr>
                <a:solidFill>
                  <a:schemeClr val="accent5">
                    <a:lumMod val="75000"/>
                  </a:schemeClr>
                </a:solidFill>
                <a:ln w="9525">
                  <a:solidFill>
                    <a:schemeClr val="accent4">
                      <a:lumMod val="60000"/>
                    </a:schemeClr>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646-4C9C-9900-BE5B3F0F1DE7}"/>
              </c:ext>
            </c:extLst>
          </c:dPt>
          <c:dPt>
            <c:idx val="10"/>
            <c:marker>
              <c:symbol val="circle"/>
              <c:size val="6"/>
              <c:spPr>
                <a:solidFill>
                  <a:schemeClr val="accent5">
                    <a:lumMod val="75000"/>
                  </a:schemeClr>
                </a:solidFill>
                <a:ln w="9525">
                  <a:solidFill>
                    <a:schemeClr val="accent5">
                      <a:lumMod val="60000"/>
                    </a:schemeClr>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646-4C9C-9900-BE5B3F0F1DE7}"/>
              </c:ext>
            </c:extLst>
          </c:dPt>
          <c:dPt>
            <c:idx val="11"/>
            <c:marker>
              <c:symbol val="circle"/>
              <c:size val="6"/>
              <c:spPr>
                <a:solidFill>
                  <a:schemeClr val="accent5">
                    <a:lumMod val="75000"/>
                  </a:schemeClr>
                </a:solidFill>
                <a:ln w="9525">
                  <a:solidFill>
                    <a:schemeClr val="accent6">
                      <a:lumMod val="60000"/>
                    </a:schemeClr>
                  </a:solidFill>
                  <a:round/>
                </a:ln>
                <a:effectLst>
                  <a:outerShdw blurRad="57150" dist="19050" dir="5400000" algn="ctr" rotWithShape="0">
                    <a:srgbClr val="000000">
                      <a:alpha val="63000"/>
                    </a:srgbClr>
                  </a:outerShdw>
                </a:effectLst>
              </c:spPr>
            </c:marker>
            <c:bubble3D val="0"/>
            <c:spPr>
              <a:ln w="34925" cap="rnd">
                <a:gradFill>
                  <a:gsLst>
                    <a:gs pos="0">
                      <a:schemeClr val="accent5">
                        <a:lumMod val="60000"/>
                        <a:lumOff val="40000"/>
                      </a:schemeClr>
                    </a:gs>
                    <a:gs pos="7030">
                      <a:srgbClr val="DA77CF"/>
                    </a:gs>
                    <a:gs pos="56644">
                      <a:srgbClr val="ECB8E6"/>
                    </a:gs>
                    <a:gs pos="41252">
                      <a:srgbClr val="E6A4DF"/>
                    </a:gs>
                    <a:gs pos="74000">
                      <a:schemeClr val="accent5">
                        <a:lumMod val="20000"/>
                        <a:lumOff val="80000"/>
                      </a:schemeClr>
                    </a:gs>
                    <a:gs pos="83000">
                      <a:schemeClr val="accent5">
                        <a:lumMod val="40000"/>
                        <a:lumOff val="60000"/>
                      </a:schemeClr>
                    </a:gs>
                    <a:gs pos="100000">
                      <a:schemeClr val="accent1">
                        <a:lumMod val="30000"/>
                        <a:lumOff val="70000"/>
                      </a:schemeClr>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646-4C9C-9900-BE5B3F0F1DE7}"/>
              </c:ext>
            </c:extLst>
          </c:dPt>
          <c:dLbls>
            <c:numFmt formatCode="#,##0" sourceLinked="0"/>
            <c:spPr>
              <a:noFill/>
              <a:ln>
                <a:noFill/>
              </a:ln>
              <a:effectLst>
                <a:glow rad="127000">
                  <a:schemeClr val="accent2">
                    <a:lumMod val="40000"/>
                    <a:lumOff val="60000"/>
                  </a:schemeClr>
                </a:glow>
                <a:softEdge rad="25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Impact" panose="020B080603090205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Conclusions!$H$3:$H$15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Conclusions!$I$3:$I$15</c:f>
              <c:numCache>
                <c:formatCode>General</c:formatCode>
                <c:ptCount val="12"/>
                <c:pt idx="0">
                  <c:v>259350.49999999997</c:v>
                </c:pt>
                <c:pt idx="1">
                  <c:v>190456.01</c:v>
                </c:pt>
                <c:pt idx="2">
                  <c:v>202966.36000000004</c:v>
                </c:pt>
                <c:pt idx="3">
                  <c:v>157583.54999999999</c:v>
                </c:pt>
                <c:pt idx="4">
                  <c:v>222847.92999999993</c:v>
                </c:pt>
                <c:pt idx="5">
                  <c:v>221752.59</c:v>
                </c:pt>
                <c:pt idx="6">
                  <c:v>281249.91000000015</c:v>
                </c:pt>
                <c:pt idx="7">
                  <c:v>216192.30000000002</c:v>
                </c:pt>
                <c:pt idx="8">
                  <c:v>202304.53000000003</c:v>
                </c:pt>
                <c:pt idx="9">
                  <c:v>242099.27000000005</c:v>
                </c:pt>
                <c:pt idx="10">
                  <c:v>196139.18</c:v>
                </c:pt>
                <c:pt idx="11">
                  <c:v>199781.41999999998</c:v>
                </c:pt>
              </c:numCache>
            </c:numRef>
          </c:val>
          <c:smooth val="0"/>
          <c:extLst>
            <c:ext xmlns:c16="http://schemas.microsoft.com/office/drawing/2014/chart" uri="{C3380CC4-5D6E-409C-BE32-E72D297353CC}">
              <c16:uniqueId val="{00000018-2A18-439C-82CC-666AC53182E5}"/>
            </c:ext>
          </c:extLst>
        </c:ser>
        <c:dLbls>
          <c:dLblPos val="l"/>
          <c:showLegendKey val="0"/>
          <c:showVal val="1"/>
          <c:showCatName val="0"/>
          <c:showSerName val="0"/>
          <c:showPercent val="0"/>
          <c:showBubbleSize val="0"/>
        </c:dLbls>
        <c:marker val="1"/>
        <c:smooth val="0"/>
        <c:axId val="1515067951"/>
        <c:axId val="1515068911"/>
      </c:lineChart>
      <c:dateAx>
        <c:axId val="1515067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15068911"/>
        <c:crosses val="autoZero"/>
        <c:auto val="0"/>
        <c:lblOffset val="100"/>
        <c:baseTimeUnit val="days"/>
      </c:dateAx>
      <c:valAx>
        <c:axId val="1515068911"/>
        <c:scaling>
          <c:orientation val="minMax"/>
        </c:scaling>
        <c:delete val="1"/>
        <c:axPos val="l"/>
        <c:numFmt formatCode="General" sourceLinked="1"/>
        <c:majorTickMark val="none"/>
        <c:minorTickMark val="none"/>
        <c:tickLblPos val="nextTo"/>
        <c:crossAx val="151506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[Sales_Proj1.xlsx]Conclusions!Branch</c:name>
    <c:fmtId val="3"/>
  </c:pivotSource>
  <c:chart>
    <c:title>
      <c:tx>
        <c:rich>
          <a:bodyPr rot="0" spcFirstLastPara="1" vertOverflow="ellipsis" vert="horz" wrap="square" anchor="ctr" anchorCtr="1"/>
          <a:lstStyle/>
          <a:p>
            <a:pPr>
              <a:defRPr sz="1600" b="1" i="0" u="none" strike="noStrike" kern="1200" baseline="0">
                <a:solidFill>
                  <a:schemeClr val="tx1">
                    <a:lumMod val="50000"/>
                    <a:lumOff val="50000"/>
                  </a:schemeClr>
                </a:solidFill>
                <a:latin typeface="Aptos Display" panose="020B0004020202020204" pitchFamily="34" charset="0"/>
                <a:ea typeface="+mn-ea"/>
                <a:cs typeface="+mn-cs"/>
              </a:defRPr>
            </a:pPr>
            <a:r>
              <a:rPr lang="en-US">
                <a:solidFill>
                  <a:schemeClr val="tx1">
                    <a:lumMod val="50000"/>
                    <a:lumOff val="50000"/>
                  </a:schemeClr>
                </a:solidFill>
                <a:latin typeface="Aptos Display" panose="020B0004020202020204" pitchFamily="34" charset="0"/>
              </a:rPr>
              <a:t>Branches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Aptos Display"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57150" dist="19050" dir="5400000" sx="91000" sy="91000" algn="ctr" rotWithShape="0">
              <a:srgbClr val="000000">
                <a:alpha val="47000"/>
              </a:srgbClr>
            </a:outerShdw>
          </a:effectLst>
        </c:spPr>
        <c:marker>
          <c:symbol val="none"/>
        </c:marker>
        <c:dLbl>
          <c:idx val="0"/>
          <c:numFmt formatCode="#,##0" sourceLinked="0"/>
          <c:spPr>
            <a:noFill/>
            <a:ln>
              <a:noFill/>
            </a:ln>
            <a:effectLst>
              <a:glow rad="12700">
                <a:schemeClr val="accent1">
                  <a:alpha val="40000"/>
                </a:schemeClr>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50000"/>
                    </a:schemeClr>
                  </a:solidFill>
                  <a:latin typeface="Impact" panose="020B080603090205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outerShdw blurRad="57150" dist="19050" dir="5400000" sx="91000" sy="91000" algn="ctr" rotWithShape="0">
              <a:srgbClr val="000000">
                <a:alpha val="47000"/>
              </a:srgbClr>
            </a:outerShdw>
          </a:effectLst>
        </c:spPr>
      </c:pivotFmt>
    </c:pivotFmts>
    <c:plotArea>
      <c:layout/>
      <c:barChart>
        <c:barDir val="col"/>
        <c:grouping val="clustered"/>
        <c:varyColors val="0"/>
        <c:ser>
          <c:idx val="0"/>
          <c:order val="0"/>
          <c:tx>
            <c:strRef>
              <c:f>Conclusions!$C$2</c:f>
              <c:strCache>
                <c:ptCount val="1"/>
                <c:pt idx="0">
                  <c:v>Total</c:v>
                </c:pt>
              </c:strCache>
            </c:strRef>
          </c:tx>
          <c:spPr>
            <a:solidFill>
              <a:schemeClr val="accent5">
                <a:lumMod val="40000"/>
                <a:lumOff val="60000"/>
              </a:schemeClr>
            </a:solidFill>
            <a:ln>
              <a:noFill/>
            </a:ln>
            <a:effectLst>
              <a:outerShdw blurRad="57150" dist="19050" dir="5400000" sx="91000" sy="91000" algn="ctr" rotWithShape="0">
                <a:srgbClr val="000000">
                  <a:alpha val="47000"/>
                </a:srgbClr>
              </a:outerShdw>
            </a:effectLst>
          </c:spPr>
          <c:invertIfNegative val="0"/>
          <c:dLbls>
            <c:numFmt formatCode="#,##0" sourceLinked="0"/>
            <c:spPr>
              <a:noFill/>
              <a:ln>
                <a:noFill/>
              </a:ln>
              <a:effectLst>
                <a:glow rad="12700">
                  <a:schemeClr val="accent1">
                    <a:alpha val="40000"/>
                  </a:schemeClr>
                </a:glo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50000"/>
                      </a:schemeClr>
                    </a:solidFill>
                    <a:latin typeface="Impact" panose="020B080603090205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Conclusions!$B$3:$B$8</c:f>
              <c:strCache>
                <c:ptCount val="5"/>
                <c:pt idx="0">
                  <c:v>Branch 2</c:v>
                </c:pt>
                <c:pt idx="1">
                  <c:v>Branch 4</c:v>
                </c:pt>
                <c:pt idx="2">
                  <c:v>Branch 1</c:v>
                </c:pt>
                <c:pt idx="3">
                  <c:v>Branch 5</c:v>
                </c:pt>
                <c:pt idx="4">
                  <c:v>Branch 3</c:v>
                </c:pt>
              </c:strCache>
            </c:strRef>
          </c:cat>
          <c:val>
            <c:numRef>
              <c:f>Conclusions!$C$3:$C$8</c:f>
              <c:numCache>
                <c:formatCode>General</c:formatCode>
                <c:ptCount val="5"/>
                <c:pt idx="0">
                  <c:v>421926.83999999979</c:v>
                </c:pt>
                <c:pt idx="1">
                  <c:v>507953.16999999981</c:v>
                </c:pt>
                <c:pt idx="2">
                  <c:v>529261.13</c:v>
                </c:pt>
                <c:pt idx="3">
                  <c:v>539468.33000000019</c:v>
                </c:pt>
                <c:pt idx="4">
                  <c:v>594114.07999999996</c:v>
                </c:pt>
              </c:numCache>
            </c:numRef>
          </c:val>
          <c:extLst>
            <c:ext xmlns:c16="http://schemas.microsoft.com/office/drawing/2014/chart" uri="{C3380CC4-5D6E-409C-BE32-E72D297353CC}">
              <c16:uniqueId val="{00000000-0DA7-49F7-AB53-56A4945ED280}"/>
            </c:ext>
          </c:extLst>
        </c:ser>
        <c:dLbls>
          <c:dLblPos val="outEnd"/>
          <c:showLegendKey val="0"/>
          <c:showVal val="1"/>
          <c:showCatName val="0"/>
          <c:showSerName val="0"/>
          <c:showPercent val="0"/>
          <c:showBubbleSize val="0"/>
        </c:dLbls>
        <c:gapWidth val="60"/>
        <c:overlap val="-26"/>
        <c:axId val="74519631"/>
        <c:axId val="74518671"/>
      </c:barChart>
      <c:catAx>
        <c:axId val="74519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18671"/>
        <c:crosses val="autoZero"/>
        <c:auto val="1"/>
        <c:lblAlgn val="ctr"/>
        <c:lblOffset val="100"/>
        <c:noMultiLvlLbl val="0"/>
      </c:catAx>
      <c:valAx>
        <c:axId val="74518671"/>
        <c:scaling>
          <c:orientation val="minMax"/>
        </c:scaling>
        <c:delete val="1"/>
        <c:axPos val="l"/>
        <c:numFmt formatCode="General" sourceLinked="1"/>
        <c:majorTickMark val="none"/>
        <c:minorTickMark val="none"/>
        <c:tickLblPos val="nextTo"/>
        <c:crossAx val="7451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[Sales_Proj1.xlsx]Conclusions!Payment Method</c:name>
    <c:fmtId val="3"/>
  </c:pivotSource>
  <c:chart>
    <c:title>
      <c:tx>
        <c:rich>
          <a:bodyPr rot="0" spcFirstLastPara="1" vertOverflow="ellipsis" vert="horz" wrap="square" anchor="ctr" anchorCtr="1"/>
          <a:lstStyle/>
          <a:p>
            <a:pPr algn="ctr" rtl="0">
              <a:defRPr lang="en-US" sz="1600" b="1" i="0" u="none" strike="noStrike" kern="1200" spc="0" baseline="0">
                <a:solidFill>
                  <a:schemeClr val="tx1">
                    <a:lumMod val="50000"/>
                    <a:lumOff val="50000"/>
                  </a:schemeClr>
                </a:solidFill>
                <a:latin typeface="Aptos Display" panose="020B0004020202020204" pitchFamily="34" charset="0"/>
                <a:ea typeface="+mn-ea"/>
                <a:cs typeface="+mn-cs"/>
              </a:defRPr>
            </a:pPr>
            <a:r>
              <a:rPr lang="en-US" sz="1600" b="1" i="0" u="none" strike="noStrike" kern="1200" spc="0" baseline="0">
                <a:solidFill>
                  <a:schemeClr val="tx1">
                    <a:lumMod val="50000"/>
                    <a:lumOff val="50000"/>
                  </a:schemeClr>
                </a:solidFill>
                <a:latin typeface="Aptos Display" panose="020B0004020202020204" pitchFamily="34" charset="0"/>
                <a:ea typeface="+mn-ea"/>
                <a:cs typeface="+mn-cs"/>
              </a:rPr>
              <a:t>Payment Method</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50000"/>
                  <a:lumOff val="50000"/>
                </a:schemeClr>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Impact" panose="020B080603090205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60000"/>
              <a:lumOff val="40000"/>
            </a:schemeClr>
          </a:solidFill>
          <a:ln w="19050">
            <a:solidFill>
              <a:schemeClr val="lt1"/>
            </a:solidFill>
          </a:ln>
          <a:effectLst/>
        </c:spPr>
      </c:pivotFmt>
      <c:pivotFmt>
        <c:idx val="8"/>
        <c:spPr>
          <a:solidFill>
            <a:schemeClr val="accent5">
              <a:lumMod val="75000"/>
            </a:schemeClr>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lumMod val="40000"/>
              <a:lumOff val="60000"/>
            </a:schemeClr>
          </a:solidFill>
          <a:ln w="19050">
            <a:solidFill>
              <a:schemeClr val="lt1"/>
            </a:solidFill>
          </a:ln>
          <a:effectLst/>
        </c:spPr>
      </c:pivotFmt>
    </c:pivotFmts>
    <c:plotArea>
      <c:layout/>
      <c:pieChart>
        <c:varyColors val="1"/>
        <c:ser>
          <c:idx val="0"/>
          <c:order val="0"/>
          <c:tx>
            <c:strRef>
              <c:f>Conclusions!$F$11</c:f>
              <c:strCache>
                <c:ptCount val="1"/>
                <c:pt idx="0">
                  <c:v>Total</c:v>
                </c:pt>
              </c:strCache>
            </c:strRef>
          </c:tx>
          <c:spPr>
            <a:effectLst/>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ECC2-4D0F-ADA9-E911E1B0F2AE}"/>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CC2-4D0F-ADA9-E911E1B0F2A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CC2-4D0F-ADA9-E911E1B0F2AE}"/>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ECC2-4D0F-ADA9-E911E1B0F2AE}"/>
              </c:ext>
            </c:extLst>
          </c:dPt>
          <c:dLbls>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Impact" panose="020B080603090205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Conclusions!$E$12:$E$16</c:f>
              <c:strCache>
                <c:ptCount val="4"/>
                <c:pt idx="0">
                  <c:v>Bank Transfer</c:v>
                </c:pt>
                <c:pt idx="1">
                  <c:v>Cash</c:v>
                </c:pt>
                <c:pt idx="2">
                  <c:v>Credit Card</c:v>
                </c:pt>
                <c:pt idx="3">
                  <c:v>PayPal</c:v>
                </c:pt>
              </c:strCache>
            </c:strRef>
          </c:cat>
          <c:val>
            <c:numRef>
              <c:f>Conclusions!$F$12:$F$16</c:f>
              <c:numCache>
                <c:formatCode>General</c:formatCode>
                <c:ptCount val="4"/>
                <c:pt idx="0">
                  <c:v>569751.57000000018</c:v>
                </c:pt>
                <c:pt idx="1">
                  <c:v>595772.86999999988</c:v>
                </c:pt>
                <c:pt idx="2">
                  <c:v>666780.05999999982</c:v>
                </c:pt>
                <c:pt idx="3">
                  <c:v>760419.04999999946</c:v>
                </c:pt>
              </c:numCache>
            </c:numRef>
          </c:val>
          <c:extLst>
            <c:ext xmlns:c16="http://schemas.microsoft.com/office/drawing/2014/chart" uri="{C3380CC4-5D6E-409C-BE32-E72D297353CC}">
              <c16:uniqueId val="{00000008-3F02-4416-9E9D-298269EA11E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[Sales_Proj1.xlsx]Conclusions!Category/Brand Sales</c:name>
    <c:fmtId val="8"/>
  </c:pivotSource>
  <c:chart>
    <c:title>
      <c:tx>
        <c:rich>
          <a:bodyPr rot="0" spcFirstLastPara="1" vertOverflow="ellipsis" vert="horz" wrap="square" anchor="ctr" anchorCtr="1"/>
          <a:lstStyle/>
          <a:p>
            <a:pPr algn="ctr" rtl="0">
              <a:defRPr lang="en-US" sz="1600" b="1" i="0" u="none" strike="noStrike" kern="1200" spc="0" baseline="0">
                <a:solidFill>
                  <a:schemeClr val="tx1">
                    <a:lumMod val="50000"/>
                    <a:lumOff val="50000"/>
                  </a:schemeClr>
                </a:solidFill>
                <a:latin typeface="Aptos Display" panose="020B0004020202020204" pitchFamily="34" charset="0"/>
                <a:ea typeface="+mn-ea"/>
                <a:cs typeface="+mn-cs"/>
              </a:defRPr>
            </a:pPr>
            <a:r>
              <a:rPr lang="en-US" sz="1600" b="1" i="0" u="none" strike="noStrike" kern="1200" baseline="0">
                <a:solidFill>
                  <a:schemeClr val="tx1">
                    <a:lumMod val="50000"/>
                    <a:lumOff val="50000"/>
                  </a:schemeClr>
                </a:solidFill>
                <a:latin typeface="Aptos Display" panose="020B0004020202020204" pitchFamily="34" charset="0"/>
                <a:ea typeface="+mn-ea"/>
                <a:cs typeface="+mn-cs"/>
              </a:rPr>
              <a:t>Sales in a brand/Category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lumMod val="50000"/>
                  <a:lumOff val="50000"/>
                </a:schemeClr>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numFmt formatCode="#,##0" sourceLinked="0"/>
          <c:spPr>
            <a:noFill/>
            <a:ln>
              <a:no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bg2">
                      <a:lumMod val="50000"/>
                    </a:schemeClr>
                  </a:solidFill>
                  <a:latin typeface="Impact" panose="020B080603090205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stacked"/>
        <c:varyColors val="0"/>
        <c:ser>
          <c:idx val="0"/>
          <c:order val="0"/>
          <c:tx>
            <c:strRef>
              <c:f>Conclusions!$C$11</c:f>
              <c:strCache>
                <c:ptCount val="1"/>
                <c:pt idx="0">
                  <c:v>Total</c:v>
                </c:pt>
              </c:strCache>
            </c:strRef>
          </c:tx>
          <c:spPr>
            <a:solidFill>
              <a:schemeClr val="accent5">
                <a:lumMod val="40000"/>
                <a:lumOff val="60000"/>
              </a:schemeClr>
            </a:solidFill>
            <a:ln>
              <a:noFill/>
            </a:ln>
            <a:effectLst/>
          </c:spPr>
          <c:invertIfNegative val="0"/>
          <c:dLbls>
            <c:numFmt formatCode="#,##0" sourceLinked="0"/>
            <c:spPr>
              <a:noFill/>
              <a:ln>
                <a:no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bg2">
                        <a:lumMod val="50000"/>
                      </a:schemeClr>
                    </a:solidFill>
                    <a:latin typeface="Impact" panose="020B080603090205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Conclusions!$B$12:$B$42</c:f>
              <c:multiLvlStrCache>
                <c:ptCount val="25"/>
                <c:lvl>
                  <c:pt idx="0">
                    <c:v>Brand A</c:v>
                  </c:pt>
                  <c:pt idx="1">
                    <c:v>Brand B</c:v>
                  </c:pt>
                  <c:pt idx="2">
                    <c:v>Brand C</c:v>
                  </c:pt>
                  <c:pt idx="3">
                    <c:v>Brand D</c:v>
                  </c:pt>
                  <c:pt idx="4">
                    <c:v>Brand E</c:v>
                  </c:pt>
                  <c:pt idx="5">
                    <c:v>Brand A</c:v>
                  </c:pt>
                  <c:pt idx="6">
                    <c:v>Brand B</c:v>
                  </c:pt>
                  <c:pt idx="7">
                    <c:v>Brand C</c:v>
                  </c:pt>
                  <c:pt idx="8">
                    <c:v>Brand D</c:v>
                  </c:pt>
                  <c:pt idx="9">
                    <c:v>Brand E</c:v>
                  </c:pt>
                  <c:pt idx="10">
                    <c:v>Brand A</c:v>
                  </c:pt>
                  <c:pt idx="11">
                    <c:v>Brand B</c:v>
                  </c:pt>
                  <c:pt idx="12">
                    <c:v>Brand C</c:v>
                  </c:pt>
                  <c:pt idx="13">
                    <c:v>Brand D</c:v>
                  </c:pt>
                  <c:pt idx="14">
                    <c:v>Brand E</c:v>
                  </c:pt>
                  <c:pt idx="15">
                    <c:v>Brand A</c:v>
                  </c:pt>
                  <c:pt idx="16">
                    <c:v>Brand B</c:v>
                  </c:pt>
                  <c:pt idx="17">
                    <c:v>Brand C</c:v>
                  </c:pt>
                  <c:pt idx="18">
                    <c:v>Brand D</c:v>
                  </c:pt>
                  <c:pt idx="19">
                    <c:v>Brand E</c:v>
                  </c:pt>
                  <c:pt idx="20">
                    <c:v>Brand A</c:v>
                  </c:pt>
                  <c:pt idx="21">
                    <c:v>Brand B</c:v>
                  </c:pt>
                  <c:pt idx="22">
                    <c:v>Brand C</c:v>
                  </c:pt>
                  <c:pt idx="23">
                    <c:v>Brand D</c:v>
                  </c:pt>
                  <c:pt idx="24">
                    <c:v>Brand E</c:v>
                  </c:pt>
                </c:lvl>
                <c:lvl>
                  <c:pt idx="0">
                    <c:v>Beauty</c:v>
                  </c:pt>
                  <c:pt idx="5">
                    <c:v>Electronics</c:v>
                  </c:pt>
                  <c:pt idx="10">
                    <c:v>Fashion</c:v>
                  </c:pt>
                  <c:pt idx="15">
                    <c:v>Home</c:v>
                  </c:pt>
                  <c:pt idx="20">
                    <c:v>Sports</c:v>
                  </c:pt>
                </c:lvl>
              </c:multiLvlStrCache>
            </c:multiLvlStrRef>
          </c:cat>
          <c:val>
            <c:numRef>
              <c:f>Conclusions!$C$12:$C$42</c:f>
              <c:numCache>
                <c:formatCode>General</c:formatCode>
                <c:ptCount val="25"/>
                <c:pt idx="0">
                  <c:v>59908.9</c:v>
                </c:pt>
                <c:pt idx="1">
                  <c:v>109085.67999999998</c:v>
                </c:pt>
                <c:pt idx="2">
                  <c:v>98867.26999999999</c:v>
                </c:pt>
                <c:pt idx="3">
                  <c:v>90361.790000000008</c:v>
                </c:pt>
                <c:pt idx="4">
                  <c:v>98235.099999999991</c:v>
                </c:pt>
                <c:pt idx="5">
                  <c:v>120572.51000000004</c:v>
                </c:pt>
                <c:pt idx="6">
                  <c:v>85397.08</c:v>
                </c:pt>
                <c:pt idx="7">
                  <c:v>72600.19</c:v>
                </c:pt>
                <c:pt idx="8">
                  <c:v>183490.96999999997</c:v>
                </c:pt>
                <c:pt idx="9">
                  <c:v>90667.12999999999</c:v>
                </c:pt>
                <c:pt idx="10">
                  <c:v>112346.43</c:v>
                </c:pt>
                <c:pt idx="11">
                  <c:v>177019.99999999994</c:v>
                </c:pt>
                <c:pt idx="12">
                  <c:v>97832.34</c:v>
                </c:pt>
                <c:pt idx="13">
                  <c:v>127352.03000000003</c:v>
                </c:pt>
                <c:pt idx="14">
                  <c:v>108041.32</c:v>
                </c:pt>
                <c:pt idx="15">
                  <c:v>70858.48</c:v>
                </c:pt>
                <c:pt idx="16">
                  <c:v>80738.419999999984</c:v>
                </c:pt>
                <c:pt idx="17">
                  <c:v>89485.639999999985</c:v>
                </c:pt>
                <c:pt idx="18">
                  <c:v>108201.19</c:v>
                </c:pt>
                <c:pt idx="19">
                  <c:v>92367.119999999981</c:v>
                </c:pt>
                <c:pt idx="20">
                  <c:v>95943.890000000029</c:v>
                </c:pt>
                <c:pt idx="21">
                  <c:v>70496.360000000015</c:v>
                </c:pt>
                <c:pt idx="22">
                  <c:v>102058.21000000002</c:v>
                </c:pt>
                <c:pt idx="23">
                  <c:v>153820.21</c:v>
                </c:pt>
                <c:pt idx="24">
                  <c:v>96975.290000000008</c:v>
                </c:pt>
              </c:numCache>
            </c:numRef>
          </c:val>
          <c:extLst>
            <c:ext xmlns:c16="http://schemas.microsoft.com/office/drawing/2014/chart" uri="{C3380CC4-5D6E-409C-BE32-E72D297353CC}">
              <c16:uniqueId val="{00000000-D70E-4E1E-ABC5-27C566D5451E}"/>
            </c:ext>
          </c:extLst>
        </c:ser>
        <c:dLbls>
          <c:dLblPos val="inEnd"/>
          <c:showLegendKey val="0"/>
          <c:showVal val="1"/>
          <c:showCatName val="0"/>
          <c:showSerName val="0"/>
          <c:showPercent val="0"/>
          <c:showBubbleSize val="0"/>
        </c:dLbls>
        <c:gapWidth val="26"/>
        <c:overlap val="-20"/>
        <c:axId val="74521551"/>
        <c:axId val="74522511"/>
      </c:barChart>
      <c:catAx>
        <c:axId val="7452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2511"/>
        <c:crosses val="autoZero"/>
        <c:auto val="1"/>
        <c:lblAlgn val="ctr"/>
        <c:lblOffset val="100"/>
        <c:noMultiLvlLbl val="0"/>
      </c:catAx>
      <c:valAx>
        <c:axId val="745225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452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523875</xdr:colOff>
      <xdr:row>15</xdr:row>
      <xdr:rowOff>169817</xdr:rowOff>
    </xdr:from>
    <xdr:to>
      <xdr:col>25</xdr:col>
      <xdr:colOff>122555</xdr:colOff>
      <xdr:row>31</xdr:row>
      <xdr:rowOff>139337</xdr:rowOff>
    </xdr:to>
    <xdr:graphicFrame macro="">
      <xdr:nvGraphicFramePr>
        <xdr:cNvPr id="2" name="Chart 1">
          <a:extLst>
            <a:ext uri="{FF2B5EF4-FFF2-40B4-BE49-F238E27FC236}">
              <a16:creationId xmlns:a16="http://schemas.microsoft.com/office/drawing/2014/main" id="{BD49A5B6-027D-4DA8-B0E0-4BFAEEA42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7</xdr:col>
      <xdr:colOff>195199</xdr:colOff>
      <xdr:row>16</xdr:row>
      <xdr:rowOff>1270</xdr:rowOff>
    </xdr:to>
    <xdr:graphicFrame macro="">
      <xdr:nvGraphicFramePr>
        <xdr:cNvPr id="3" name="Chart 2">
          <a:extLst>
            <a:ext uri="{FF2B5EF4-FFF2-40B4-BE49-F238E27FC236}">
              <a16:creationId xmlns:a16="http://schemas.microsoft.com/office/drawing/2014/main" id="{9B00B341-70BB-471E-9FB2-967C8ED7F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523875</xdr:colOff>
      <xdr:row>0</xdr:row>
      <xdr:rowOff>0</xdr:rowOff>
    </xdr:from>
    <xdr:to>
      <xdr:col>25</xdr:col>
      <xdr:colOff>122555</xdr:colOff>
      <xdr:row>16</xdr:row>
      <xdr:rowOff>1270</xdr:rowOff>
    </xdr:to>
    <xdr:graphicFrame macro="">
      <xdr:nvGraphicFramePr>
        <xdr:cNvPr id="5" name="Chart 4">
          <a:extLst>
            <a:ext uri="{FF2B5EF4-FFF2-40B4-BE49-F238E27FC236}">
              <a16:creationId xmlns:a16="http://schemas.microsoft.com/office/drawing/2014/main" id="{17BFB69B-48F6-49A1-A5AB-E42FC0AC0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15</xdr:row>
      <xdr:rowOff>169817</xdr:rowOff>
    </xdr:from>
    <xdr:to>
      <xdr:col>7</xdr:col>
      <xdr:colOff>195200</xdr:colOff>
      <xdr:row>31</xdr:row>
      <xdr:rowOff>139337</xdr:rowOff>
    </xdr:to>
    <xdr:graphicFrame macro="">
      <xdr:nvGraphicFramePr>
        <xdr:cNvPr id="6" name="Chart 5">
          <a:extLst>
            <a:ext uri="{FF2B5EF4-FFF2-40B4-BE49-F238E27FC236}">
              <a16:creationId xmlns:a16="http://schemas.microsoft.com/office/drawing/2014/main" id="{00727A19-EB3D-4244-ABAE-AE3BCBC0A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207137</xdr:colOff>
      <xdr:row>4</xdr:row>
      <xdr:rowOff>7939</xdr:rowOff>
    </xdr:from>
    <xdr:to>
      <xdr:col>10</xdr:col>
      <xdr:colOff>182372</xdr:colOff>
      <xdr:row>15</xdr:row>
      <xdr:rowOff>97855</xdr:rowOff>
    </xdr:to>
    <mc:AlternateContent xmlns:mc="http://schemas.openxmlformats.org/markup-compatibility/2006">
      <mc:Choice xmlns:a14="http://schemas.microsoft.com/office/drawing/2010/main" Requires="a14">
        <xdr:graphicFrame macro="">
          <xdr:nvGraphicFramePr>
            <xdr:cNvPr id="9" name="BranchName">
              <a:extLst>
                <a:ext uri="{FF2B5EF4-FFF2-40B4-BE49-F238E27FC236}">
                  <a16:creationId xmlns:a16="http://schemas.microsoft.com/office/drawing/2014/main" id="{2E280A04-8F6F-1D95-3675-F4A5586814B0}"/>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dr:sp macro="" textlink="">
          <xdr:nvSpPr>
            <xdr:cNvPr id="0" name=""/>
            <xdr:cNvSpPr>
              <a:spLocks noTextEdit="1"/>
            </xdr:cNvSpPr>
          </xdr:nvSpPr>
          <xdr:spPr>
            <a:xfrm>
              <a:off x="4318762" y="738189"/>
              <a:ext cx="1737360" cy="2185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207137</xdr:colOff>
      <xdr:row>15</xdr:row>
      <xdr:rowOff>79374</xdr:rowOff>
    </xdr:from>
    <xdr:to>
      <xdr:col>10</xdr:col>
      <xdr:colOff>182372</xdr:colOff>
      <xdr:row>26</xdr:row>
      <xdr:rowOff>169290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D4E100E4-851E-4121-89AC-7591B32ECA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318762" y="2905124"/>
              <a:ext cx="1737360" cy="2185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548640</xdr:colOff>
      <xdr:row>15</xdr:row>
      <xdr:rowOff>79374</xdr:rowOff>
    </xdr:from>
    <xdr:to>
      <xdr:col>17</xdr:col>
      <xdr:colOff>523875</xdr:colOff>
      <xdr:row>26</xdr:row>
      <xdr:rowOff>169290</xdr:rowOff>
    </xdr:to>
    <mc:AlternateContent xmlns:mc="http://schemas.openxmlformats.org/markup-compatibility/2006">
      <mc:Choice xmlns:a14="http://schemas.microsoft.com/office/drawing/2010/main" Requires="a14">
        <xdr:graphicFrame macro="">
          <xdr:nvGraphicFramePr>
            <xdr:cNvPr id="10" name="Brand 1">
              <a:extLst>
                <a:ext uri="{FF2B5EF4-FFF2-40B4-BE49-F238E27FC236}">
                  <a16:creationId xmlns:a16="http://schemas.microsoft.com/office/drawing/2014/main" id="{E24220D6-4FE1-47A7-812D-A3945B3935B3}"/>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8771890" y="2905124"/>
              <a:ext cx="1737360" cy="2185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548640</xdr:colOff>
      <xdr:row>4</xdr:row>
      <xdr:rowOff>7939</xdr:rowOff>
    </xdr:from>
    <xdr:to>
      <xdr:col>17</xdr:col>
      <xdr:colOff>523875</xdr:colOff>
      <xdr:row>15</xdr:row>
      <xdr:rowOff>97855</xdr:rowOff>
    </xdr:to>
    <mc:AlternateContent xmlns:mc="http://schemas.openxmlformats.org/markup-compatibility/2006">
      <mc:Choice xmlns:a14="http://schemas.microsoft.com/office/drawing/2010/main" Requires="a14">
        <xdr:graphicFrame macro="">
          <xdr:nvGraphicFramePr>
            <xdr:cNvPr id="13" name="PaymentMethod">
              <a:extLst>
                <a:ext uri="{FF2B5EF4-FFF2-40B4-BE49-F238E27FC236}">
                  <a16:creationId xmlns:a16="http://schemas.microsoft.com/office/drawing/2014/main" id="{04692DEB-D155-46CA-8FEC-F001FF60A65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8771890" y="738189"/>
              <a:ext cx="1737360" cy="2185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207137</xdr:colOff>
      <xdr:row>26</xdr:row>
      <xdr:rowOff>105790</xdr:rowOff>
    </xdr:from>
    <xdr:to>
      <xdr:col>17</xdr:col>
      <xdr:colOff>523875</xdr:colOff>
      <xdr:row>31</xdr:row>
      <xdr:rowOff>149877</xdr:rowOff>
    </xdr:to>
    <mc:AlternateContent xmlns:mc="http://schemas.openxmlformats.org/markup-compatibility/2006">
      <mc:Choice xmlns:a14="http://schemas.microsoft.com/office/drawing/2010/main" Requires="a14">
        <xdr:graphicFrame macro="">
          <xdr:nvGraphicFramePr>
            <xdr:cNvPr id="14" name="Date (Months)">
              <a:extLst>
                <a:ext uri="{FF2B5EF4-FFF2-40B4-BE49-F238E27FC236}">
                  <a16:creationId xmlns:a16="http://schemas.microsoft.com/office/drawing/2014/main" id="{AF7547B8-BEBC-43F3-B704-36407EB8AB23}"/>
                </a:ext>
              </a:extLst>
            </xdr:cNvPr>
            <xdr:cNvGraphicFramePr/>
          </xdr:nvGraphicFramePr>
          <xdr:xfrm>
            <a:off x="0" y="0"/>
            <a:ext cx="0" cy="0"/>
          </xdr:xfrm>
          <a:graphic>
            <a:graphicData uri="http://schemas.microsoft.com/office/drawing/2010/slicer">
              <sle:slicer xmlns:sle="http://schemas.microsoft.com/office/drawing/2010/slicer" name="Date (Months)"/>
            </a:graphicData>
          </a:graphic>
        </xdr:graphicFrame>
      </mc:Choice>
      <mc:Fallback>
        <xdr:sp macro="" textlink="">
          <xdr:nvSpPr>
            <xdr:cNvPr id="0" name=""/>
            <xdr:cNvSpPr>
              <a:spLocks noTextEdit="1"/>
            </xdr:cNvSpPr>
          </xdr:nvSpPr>
          <xdr:spPr>
            <a:xfrm>
              <a:off x="4318762" y="5027040"/>
              <a:ext cx="6190488" cy="996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468694</xdr:colOff>
      <xdr:row>4</xdr:row>
      <xdr:rowOff>103188</xdr:rowOff>
    </xdr:from>
    <xdr:to>
      <xdr:col>14</xdr:col>
      <xdr:colOff>262319</xdr:colOff>
      <xdr:row>15</xdr:row>
      <xdr:rowOff>39688</xdr:rowOff>
    </xdr:to>
    <xdr:grpSp>
      <xdr:nvGrpSpPr>
        <xdr:cNvPr id="23" name="Group 22">
          <a:extLst>
            <a:ext uri="{FF2B5EF4-FFF2-40B4-BE49-F238E27FC236}">
              <a16:creationId xmlns:a16="http://schemas.microsoft.com/office/drawing/2014/main" id="{C8020372-0FED-2B02-8771-4E425315259A}"/>
            </a:ext>
          </a:extLst>
        </xdr:cNvPr>
        <xdr:cNvGrpSpPr/>
      </xdr:nvGrpSpPr>
      <xdr:grpSpPr>
        <a:xfrm>
          <a:off x="6342444" y="833438"/>
          <a:ext cx="2143125" cy="2032000"/>
          <a:chOff x="5687785" y="1176020"/>
          <a:chExt cx="1836420" cy="907143"/>
        </a:xfrm>
        <a:solidFill>
          <a:schemeClr val="accent5">
            <a:lumMod val="40000"/>
            <a:lumOff val="60000"/>
          </a:schemeClr>
        </a:solidFill>
      </xdr:grpSpPr>
      <xdr:sp macro="" textlink="">
        <xdr:nvSpPr>
          <xdr:cNvPr id="11" name="Rectangle: Rounded Corners 10">
            <a:extLst>
              <a:ext uri="{FF2B5EF4-FFF2-40B4-BE49-F238E27FC236}">
                <a16:creationId xmlns:a16="http://schemas.microsoft.com/office/drawing/2014/main" id="{2E1AA515-15F7-B0B0-2236-32C488D091E6}"/>
              </a:ext>
            </a:extLst>
          </xdr:cNvPr>
          <xdr:cNvSpPr/>
        </xdr:nvSpPr>
        <xdr:spPr>
          <a:xfrm>
            <a:off x="5687785" y="1176020"/>
            <a:ext cx="1836420" cy="907143"/>
          </a:xfrm>
          <a:prstGeom prst="roundRect">
            <a:avLst/>
          </a:prstGeom>
          <a:grpFill/>
          <a:ln>
            <a:solidFill>
              <a:schemeClr val="accent5">
                <a:lumMod val="20000"/>
                <a:lumOff val="80000"/>
              </a:schemeClr>
            </a:solidFill>
          </a:ln>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latin typeface="Castellar" panose="020A0402060406010301" pitchFamily="18" charset="0"/>
              </a:rPr>
              <a:t> </a:t>
            </a:r>
            <a:r>
              <a:rPr lang="en-US" sz="1050" b="1">
                <a:solidFill>
                  <a:schemeClr val="bg2">
                    <a:lumMod val="50000"/>
                  </a:schemeClr>
                </a:solidFill>
                <a:effectLst/>
                <a:latin typeface="Castellar" panose="020A0402060406010301" pitchFamily="18" charset="0"/>
                <a:ea typeface="+mn-ea"/>
                <a:cs typeface="+mn-cs"/>
              </a:rPr>
              <a:t>Active</a:t>
            </a:r>
            <a:r>
              <a:rPr lang="en-US" sz="1050" b="1" baseline="0">
                <a:solidFill>
                  <a:schemeClr val="bg2">
                    <a:lumMod val="50000"/>
                  </a:schemeClr>
                </a:solidFill>
                <a:effectLst/>
                <a:latin typeface="Castellar" panose="020A0402060406010301" pitchFamily="18" charset="0"/>
                <a:ea typeface="+mn-ea"/>
                <a:cs typeface="+mn-cs"/>
              </a:rPr>
              <a:t> </a:t>
            </a:r>
            <a:r>
              <a:rPr lang="en-US" sz="1050" b="1">
                <a:solidFill>
                  <a:schemeClr val="bg2">
                    <a:lumMod val="50000"/>
                  </a:schemeClr>
                </a:solidFill>
                <a:effectLst/>
                <a:latin typeface="Castellar" panose="020A0402060406010301" pitchFamily="18" charset="0"/>
                <a:ea typeface="+mn-ea"/>
                <a:cs typeface="+mn-cs"/>
              </a:rPr>
              <a:t>Customers</a:t>
            </a:r>
            <a:endParaRPr lang="en-US" sz="1100" b="1">
              <a:solidFill>
                <a:schemeClr val="bg2">
                  <a:lumMod val="50000"/>
                </a:schemeClr>
              </a:solidFill>
              <a:effectLst/>
              <a:latin typeface="Castellar" panose="020A0402060406010301" pitchFamily="18" charset="0"/>
            </a:endParaRPr>
          </a:p>
        </xdr:txBody>
      </xdr:sp>
      <xdr:sp macro="" textlink="Conclusions!K5">
        <xdr:nvSpPr>
          <xdr:cNvPr id="20" name="TextBox 19">
            <a:extLst>
              <a:ext uri="{FF2B5EF4-FFF2-40B4-BE49-F238E27FC236}">
                <a16:creationId xmlns:a16="http://schemas.microsoft.com/office/drawing/2014/main" id="{1CB9CBF5-E7D2-6492-3AC3-55A92EDB463F}"/>
              </a:ext>
            </a:extLst>
          </xdr:cNvPr>
          <xdr:cNvSpPr txBox="1"/>
        </xdr:nvSpPr>
        <xdr:spPr>
          <a:xfrm>
            <a:off x="6279424" y="1866033"/>
            <a:ext cx="653143" cy="134282"/>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A3F67B8-E37E-4EB7-8BF1-FD5A880F6D6C}" type="TxLink">
              <a:rPr lang="en-US" sz="1400" b="0" i="0" u="none" strike="noStrike">
                <a:solidFill>
                  <a:schemeClr val="bg2">
                    <a:lumMod val="50000"/>
                  </a:schemeClr>
                </a:solidFill>
                <a:latin typeface="Impact" panose="020B0806030902050204" pitchFamily="34" charset="0"/>
              </a:rPr>
              <a:pPr algn="ctr"/>
              <a:t>639</a:t>
            </a:fld>
            <a:endParaRPr lang="en-US" sz="1400">
              <a:solidFill>
                <a:schemeClr val="bg2">
                  <a:lumMod val="50000"/>
                </a:schemeClr>
              </a:solidFill>
              <a:latin typeface="Impact" panose="020B0806030902050204" pitchFamily="34" charset="0"/>
            </a:endParaRPr>
          </a:p>
        </xdr:txBody>
      </xdr:sp>
    </xdr:grpSp>
    <xdr:clientData/>
  </xdr:twoCellAnchor>
  <xdr:twoCellAnchor>
    <xdr:from>
      <xdr:col>10</xdr:col>
      <xdr:colOff>464725</xdr:colOff>
      <xdr:row>15</xdr:row>
      <xdr:rowOff>182563</xdr:rowOff>
    </xdr:from>
    <xdr:to>
      <xdr:col>14</xdr:col>
      <xdr:colOff>266287</xdr:colOff>
      <xdr:row>25</xdr:row>
      <xdr:rowOff>182563</xdr:rowOff>
    </xdr:to>
    <xdr:grpSp>
      <xdr:nvGrpSpPr>
        <xdr:cNvPr id="22" name="Group 21">
          <a:extLst>
            <a:ext uri="{FF2B5EF4-FFF2-40B4-BE49-F238E27FC236}">
              <a16:creationId xmlns:a16="http://schemas.microsoft.com/office/drawing/2014/main" id="{A1037EAD-1D51-D4F2-2CC9-78300670A222}"/>
            </a:ext>
          </a:extLst>
        </xdr:cNvPr>
        <xdr:cNvGrpSpPr/>
      </xdr:nvGrpSpPr>
      <xdr:grpSpPr>
        <a:xfrm>
          <a:off x="6338475" y="3008313"/>
          <a:ext cx="2151062" cy="1905000"/>
          <a:chOff x="5659844" y="2975791"/>
          <a:chExt cx="1836420" cy="907143"/>
        </a:xfrm>
      </xdr:grpSpPr>
      <xdr:sp macro="" textlink="">
        <xdr:nvSpPr>
          <xdr:cNvPr id="12" name="Rectangle: Rounded Corners 11">
            <a:extLst>
              <a:ext uri="{FF2B5EF4-FFF2-40B4-BE49-F238E27FC236}">
                <a16:creationId xmlns:a16="http://schemas.microsoft.com/office/drawing/2014/main" id="{38169936-ED69-423F-8A1F-417BE1181903}"/>
              </a:ext>
            </a:extLst>
          </xdr:cNvPr>
          <xdr:cNvSpPr/>
        </xdr:nvSpPr>
        <xdr:spPr>
          <a:xfrm>
            <a:off x="5659844" y="2975791"/>
            <a:ext cx="1836420" cy="907143"/>
          </a:xfrm>
          <a:prstGeom prst="roundRect">
            <a:avLst/>
          </a:prstGeom>
          <a:solidFill>
            <a:schemeClr val="accent5">
              <a:lumMod val="40000"/>
              <a:lumOff val="60000"/>
            </a:schemeClr>
          </a:solidFill>
          <a:ln>
            <a:solidFill>
              <a:schemeClr val="accent5">
                <a:lumMod val="20000"/>
                <a:lumOff val="80000"/>
              </a:schemeClr>
            </a:solidFill>
          </a:ln>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2">
                    <a:lumMod val="50000"/>
                  </a:schemeClr>
                </a:solidFill>
                <a:effectLst/>
                <a:latin typeface="Castellar" panose="020A0402060406010301" pitchFamily="18" charset="0"/>
                <a:ea typeface="+mn-ea"/>
                <a:cs typeface="+mn-cs"/>
              </a:rPr>
              <a:t>Total Sales </a:t>
            </a:r>
          </a:p>
        </xdr:txBody>
      </xdr:sp>
      <xdr:sp macro="" textlink="Conclusions!K9">
        <xdr:nvSpPr>
          <xdr:cNvPr id="21" name="TextBox 20">
            <a:extLst>
              <a:ext uri="{FF2B5EF4-FFF2-40B4-BE49-F238E27FC236}">
                <a16:creationId xmlns:a16="http://schemas.microsoft.com/office/drawing/2014/main" id="{20F503C0-2D2B-674E-7CC0-0C24E661F95B}"/>
              </a:ext>
            </a:extLst>
          </xdr:cNvPr>
          <xdr:cNvSpPr txBox="1"/>
        </xdr:nvSpPr>
        <xdr:spPr>
          <a:xfrm>
            <a:off x="6158573" y="3648381"/>
            <a:ext cx="832496" cy="140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E527EBA-9F99-4152-A050-032AEA1A6E82}" type="TxLink">
              <a:rPr lang="en-US" sz="1400" b="0" i="0" u="none" strike="noStrike">
                <a:solidFill>
                  <a:schemeClr val="bg2">
                    <a:lumMod val="50000"/>
                  </a:schemeClr>
                </a:solidFill>
                <a:latin typeface="Impact" panose="020B0806030902050204" pitchFamily="34" charset="0"/>
              </a:rPr>
              <a:pPr algn="ctr"/>
              <a:t>2592723.55</a:t>
            </a:fld>
            <a:endParaRPr lang="en-US" sz="1400">
              <a:solidFill>
                <a:schemeClr val="bg2">
                  <a:lumMod val="50000"/>
                </a:schemeClr>
              </a:solidFill>
              <a:latin typeface="Impact" panose="020B0806030902050204" pitchFamily="34" charset="0"/>
            </a:endParaRPr>
          </a:p>
        </xdr:txBody>
      </xdr:sp>
    </xdr:grpSp>
    <xdr:clientData/>
  </xdr:twoCellAnchor>
  <xdr:twoCellAnchor editAs="oneCell">
    <xdr:from>
      <xdr:col>12</xdr:col>
      <xdr:colOff>123847</xdr:colOff>
      <xdr:row>8</xdr:row>
      <xdr:rowOff>135127</xdr:rowOff>
    </xdr:from>
    <xdr:to>
      <xdr:col>13</xdr:col>
      <xdr:colOff>19790</xdr:colOff>
      <xdr:row>11</xdr:row>
      <xdr:rowOff>96384</xdr:rowOff>
    </xdr:to>
    <xdr:pic>
      <xdr:nvPicPr>
        <xdr:cNvPr id="34" name="Graphic 33" descr="Users with solid fill">
          <a:extLst>
            <a:ext uri="{FF2B5EF4-FFF2-40B4-BE49-F238E27FC236}">
              <a16:creationId xmlns:a16="http://schemas.microsoft.com/office/drawing/2014/main" id="{508861EB-5009-0298-6736-2885146B044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72347" y="1627377"/>
          <a:ext cx="483318" cy="532757"/>
        </a:xfrm>
        <a:prstGeom prst="rect">
          <a:avLst/>
        </a:prstGeom>
      </xdr:spPr>
    </xdr:pic>
    <xdr:clientData/>
  </xdr:twoCellAnchor>
  <xdr:twoCellAnchor editAs="oneCell">
    <xdr:from>
      <xdr:col>12</xdr:col>
      <xdr:colOff>184305</xdr:colOff>
      <xdr:row>19</xdr:row>
      <xdr:rowOff>141514</xdr:rowOff>
    </xdr:from>
    <xdr:to>
      <xdr:col>12</xdr:col>
      <xdr:colOff>546708</xdr:colOff>
      <xdr:row>21</xdr:row>
      <xdr:rowOff>163285</xdr:rowOff>
    </xdr:to>
    <xdr:pic>
      <xdr:nvPicPr>
        <xdr:cNvPr id="41" name="Picture 40">
          <a:extLst>
            <a:ext uri="{FF2B5EF4-FFF2-40B4-BE49-F238E27FC236}">
              <a16:creationId xmlns:a16="http://schemas.microsoft.com/office/drawing/2014/main" id="{0F5A1734-946B-70F7-193A-A97F00D2301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32805" y="3729264"/>
          <a:ext cx="362403" cy="40277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trl-Halim" refreshedDate="46240.289355555557" createdVersion="8" refreshedVersion="8" minRefreshableVersion="3" recordCount="0" supportSubquery="1" supportAdvancedDrill="1" xr:uid="{5E539CA2-77F2-4E5B-903B-7A0136F0B863}">
  <cacheSource type="external" connectionId="10"/>
  <cacheFields count="4">
    <cacheField name="[Products].[Category].[Category]" caption="Category" numFmtId="0" hierarchy="24" level="1">
      <sharedItems count="5">
        <s v="Beauty"/>
        <s v="Electronics"/>
        <s v="Fashion"/>
        <s v="Home"/>
        <s v="Sports"/>
      </sharedItems>
    </cacheField>
    <cacheField name="[Measures].[Sum of TotalAmount]" caption="Sum of TotalAmount" numFmtId="0" hierarchy="47" level="32767"/>
    <cacheField name="[Products].[Brand].[Brand]" caption="Brand" numFmtId="0" hierarchy="25" level="1">
      <sharedItems count="5">
        <s v="Brand A"/>
        <s v="Brand B"/>
        <s v="Brand C"/>
        <s v="Brand D"/>
        <s v="Brand E"/>
      </sharedItems>
    </cacheField>
    <cacheField name="[Brands].[BrandName].[BrandName]" caption="BrandName" numFmtId="0" hierarchy="5" level="1">
      <sharedItems containsSemiMixedTypes="0" containsNonDate="0" containsString="0"/>
    </cacheField>
  </cacheFields>
  <cacheHierarchies count="6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3"/>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Price]" caption="Price" attribute="1" defaultMemberUniqueName="[Sales].[Price].[All]" allUniqueName="[Sales].[Price].[All]" dimensionUniqueName="[Sales]" displayFolder="" count="0" memberValueDatatype="5" unbalanced="0"/>
    <cacheHierarchy uniqueName="[Sales].[TotalAmount]" caption="TotalAmount" attribute="1" defaultMemberUniqueName="[Sales].[TotalAmount].[All]" allUniqueName="[Sales].[TotalAmoun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s)]" caption="Date (Months)" attribute="1" defaultMemberUniqueName="[Sales].[Date (Months)].[All]" allUniqueName="[Sales].[Date (Months)].[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Date]" caption="Count of Date" measure="1" displayFolder="" measureGroup="Sales" count="0">
      <extLst>
        <ext xmlns:x15="http://schemas.microsoft.com/office/spreadsheetml/2010/11/main" uri="{B97F6D7D-B522-45F9-BDA1-12C45D357490}">
          <x15:cacheHierarchy aggregatedColumn="31"/>
        </ext>
      </extLst>
    </cacheHierarchy>
    <cacheHierarchy uniqueName="[Measures].[Sum of CustomerID]" caption="Sum of CustomerID" measure="1" displayFolder="" measureGroup="Sales" count="0">
      <extLst>
        <ext xmlns:x15="http://schemas.microsoft.com/office/spreadsheetml/2010/11/main" uri="{B97F6D7D-B522-45F9-BDA1-12C45D357490}">
          <x15:cacheHierarchy aggregatedColumn="28"/>
        </ext>
      </extLst>
    </cacheHierarchy>
    <cacheHierarchy uniqueName="[Measures].[Distinct Count of CustomerID]" caption="Distinct Count of CustomerID" measure="1" displayFolder="" measureGroup="Sales" count="0">
      <extLst>
        <ext xmlns:x15="http://schemas.microsoft.com/office/spreadsheetml/2010/11/main" uri="{B97F6D7D-B522-45F9-BDA1-12C45D357490}">
          <x15:cacheHierarchy aggregatedColumn="28"/>
        </ext>
      </extLst>
    </cacheHierarchy>
    <cacheHierarchy uniqueName="[Measures].[Sum of BrandID]" caption="Sum of BrandID" measure="1" displayFolder="" measureGroup="Brands" count="0">
      <extLst>
        <ext xmlns:x15="http://schemas.microsoft.com/office/spreadsheetml/2010/11/main" uri="{B97F6D7D-B522-45F9-BDA1-12C45D357490}">
          <x15:cacheHierarchy aggregatedColumn="4"/>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6"/>
        </ext>
      </extLst>
    </cacheHierarchy>
    <cacheHierarchy uniqueName="[Measures].[Sum of TotalAmount]" caption="Sum of TotalAmount" measure="1" displayFolder="" measureGroup="Sales" count="0" oneField="1">
      <fieldsUsage count="1">
        <fieldUsage x="1"/>
      </fieldsUsage>
      <extLst>
        <ext xmlns:x15="http://schemas.microsoft.com/office/spreadsheetml/2010/11/main" uri="{B97F6D7D-B522-45F9-BDA1-12C45D357490}">
          <x15:cacheHierarchy aggregatedColumn="35"/>
        </ext>
      </extLst>
    </cacheHierarchy>
    <cacheHierarchy uniqueName="[Measures].[Sum of Price 2]" caption="Sum of Price 2" measure="1" displayFolder="" measureGroup="Sales" count="0">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22"/>
        </ext>
      </extLst>
    </cacheHierarchy>
    <cacheHierarchy uniqueName="[Measures].[Count of PaymentMethod]" caption="Count of PaymentMethod" measure="1" displayFolder="" measureGroup="Sales" count="0">
      <extLst>
        <ext xmlns:x15="http://schemas.microsoft.com/office/spreadsheetml/2010/11/main" uri="{B97F6D7D-B522-45F9-BDA1-12C45D357490}">
          <x15:cacheHierarchy aggregatedColumn="33"/>
        </ext>
      </extLst>
    </cacheHierarchy>
    <cacheHierarchy uniqueName="[Measures].[Count of BrandName]" caption="Count of BrandName" measure="1" displayFolder="" measureGroup="Brands" count="0">
      <extLst>
        <ext xmlns:x15="http://schemas.microsoft.com/office/spreadsheetml/2010/11/main" uri="{B97F6D7D-B522-45F9-BDA1-12C45D357490}">
          <x15:cacheHierarchy aggregatedColumn="5"/>
        </ext>
      </extLst>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trl-Halim" refreshedDate="46240.28935590278" createdVersion="8" refreshedVersion="8" minRefreshableVersion="3" recordCount="0" supportSubquery="1" supportAdvancedDrill="1" xr:uid="{8AC9DD33-A88C-49E1-B1DB-0349EAB379EB}">
  <cacheSource type="external" connectionId="10"/>
  <cacheFields count="2">
    <cacheField name="[Measures].[Distinct Count of CustomerID]" caption="Distinct Count of CustomerID" numFmtId="0" hierarchy="43" level="32767"/>
    <cacheField name="[Products].[Category].[Category]" caption="Category" numFmtId="0" hierarchy="24" level="1">
      <sharedItems containsSemiMixedTypes="0" containsNonDate="0" containsString="0"/>
    </cacheField>
  </cacheFields>
  <cacheHierarchies count="6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Price]" caption="Price" attribute="1" defaultMemberUniqueName="[Sales].[Price].[All]" allUniqueName="[Sales].[Price].[All]" dimensionUniqueName="[Sales]" displayFolder="" count="0" memberValueDatatype="5" unbalanced="0"/>
    <cacheHierarchy uniqueName="[Sales].[TotalAmount]" caption="TotalAmount" attribute="1" defaultMemberUniqueName="[Sales].[TotalAmount].[All]" allUniqueName="[Sales].[TotalAmoun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s)]" caption="Date (Months)" attribute="1" defaultMemberUniqueName="[Sales].[Date (Months)].[All]" allUniqueName="[Sales].[Date (Months)].[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Date]" caption="Count of Date" measure="1" displayFolder="" measureGroup="Sales" count="0">
      <extLst>
        <ext xmlns:x15="http://schemas.microsoft.com/office/spreadsheetml/2010/11/main" uri="{B97F6D7D-B522-45F9-BDA1-12C45D357490}">
          <x15:cacheHierarchy aggregatedColumn="31"/>
        </ext>
      </extLst>
    </cacheHierarchy>
    <cacheHierarchy uniqueName="[Measures].[Sum of CustomerID]" caption="Sum of CustomerID" measure="1" displayFolder="" measureGroup="Sales" count="0">
      <extLst>
        <ext xmlns:x15="http://schemas.microsoft.com/office/spreadsheetml/2010/11/main" uri="{B97F6D7D-B522-45F9-BDA1-12C45D357490}">
          <x15:cacheHierarchy aggregatedColumn="28"/>
        </ext>
      </extLst>
    </cacheHierarchy>
    <cacheHierarchy uniqueName="[Measures].[Distinct Count of CustomerID]" caption="Distinct Count of CustomerID" measure="1" displayFolder="" measureGroup="Sales" count="0" oneField="1">
      <fieldsUsage count="1">
        <fieldUsage x="0"/>
      </fieldsUsage>
      <extLst>
        <ext xmlns:x15="http://schemas.microsoft.com/office/spreadsheetml/2010/11/main" uri="{B97F6D7D-B522-45F9-BDA1-12C45D357490}">
          <x15:cacheHierarchy aggregatedColumn="28"/>
        </ext>
      </extLst>
    </cacheHierarchy>
    <cacheHierarchy uniqueName="[Measures].[Sum of BrandID]" caption="Sum of BrandID" measure="1" displayFolder="" measureGroup="Brands" count="0">
      <extLst>
        <ext xmlns:x15="http://schemas.microsoft.com/office/spreadsheetml/2010/11/main" uri="{B97F6D7D-B522-45F9-BDA1-12C45D357490}">
          <x15:cacheHierarchy aggregatedColumn="4"/>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6"/>
        </ext>
      </extLst>
    </cacheHierarchy>
    <cacheHierarchy uniqueName="[Measures].[Sum of TotalAmount]" caption="Sum of TotalAmount" measure="1" displayFolder="" measureGroup="Sales" count="0">
      <extLst>
        <ext xmlns:x15="http://schemas.microsoft.com/office/spreadsheetml/2010/11/main" uri="{B97F6D7D-B522-45F9-BDA1-12C45D357490}">
          <x15:cacheHierarchy aggregatedColumn="35"/>
        </ext>
      </extLst>
    </cacheHierarchy>
    <cacheHierarchy uniqueName="[Measures].[Sum of Price 2]" caption="Sum of Price 2" measure="1" displayFolder="" measureGroup="Sales" count="0">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22"/>
        </ext>
      </extLst>
    </cacheHierarchy>
    <cacheHierarchy uniqueName="[Measures].[Count of PaymentMethod]" caption="Count of PaymentMethod" measure="1" displayFolder="" measureGroup="Sales" count="0">
      <extLst>
        <ext xmlns:x15="http://schemas.microsoft.com/office/spreadsheetml/2010/11/main" uri="{B97F6D7D-B522-45F9-BDA1-12C45D357490}">
          <x15:cacheHierarchy aggregatedColumn="33"/>
        </ext>
      </extLst>
    </cacheHierarchy>
    <cacheHierarchy uniqueName="[Measures].[Count of BrandName]" caption="Count of BrandName" measure="1" displayFolder="" measureGroup="Brands" count="0">
      <extLst>
        <ext xmlns:x15="http://schemas.microsoft.com/office/spreadsheetml/2010/11/main" uri="{B97F6D7D-B522-45F9-BDA1-12C45D357490}">
          <x15:cacheHierarchy aggregatedColumn="5"/>
        </ext>
      </extLst>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trl-Halim" refreshedDate="46240.289356250003" createdVersion="8" refreshedVersion="8" minRefreshableVersion="3" recordCount="0" supportSubquery="1" supportAdvancedDrill="1" xr:uid="{76A04CA8-4A7B-4C8E-9ACF-6DDD50A98A59}">
  <cacheSource type="external" connectionId="10"/>
  <cacheFields count="3">
    <cacheField name="[Branches].[BranchName].[BranchName]" caption="BranchName" numFmtId="0" hierarchy="1" level="1">
      <sharedItems count="5">
        <s v="Branch 1"/>
        <s v="Branch 2"/>
        <s v="Branch 3"/>
        <s v="Branch 4"/>
        <s v="Branch 5"/>
      </sharedItems>
    </cacheField>
    <cacheField name="[Measures].[Sum of TotalAmount]" caption="Sum of TotalAmount" numFmtId="0" hierarchy="47" level="32767"/>
    <cacheField name="[Products].[Category].[Category]" caption="Category" numFmtId="0" hierarchy="24" level="1">
      <sharedItems containsSemiMixedTypes="0" containsNonDate="0" containsString="0"/>
    </cacheField>
  </cacheFields>
  <cacheHierarchies count="6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Price]" caption="Price" attribute="1" defaultMemberUniqueName="[Sales].[Price].[All]" allUniqueName="[Sales].[Price].[All]" dimensionUniqueName="[Sales]" displayFolder="" count="0" memberValueDatatype="5" unbalanced="0"/>
    <cacheHierarchy uniqueName="[Sales].[TotalAmount]" caption="TotalAmount" attribute="1" defaultMemberUniqueName="[Sales].[TotalAmount].[All]" allUniqueName="[Sales].[TotalAmoun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s)]" caption="Date (Months)" attribute="1" defaultMemberUniqueName="[Sales].[Date (Months)].[All]" allUniqueName="[Sales].[Date (Months)].[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Date]" caption="Count of Date" measure="1" displayFolder="" measureGroup="Sales" count="0">
      <extLst>
        <ext xmlns:x15="http://schemas.microsoft.com/office/spreadsheetml/2010/11/main" uri="{B97F6D7D-B522-45F9-BDA1-12C45D357490}">
          <x15:cacheHierarchy aggregatedColumn="31"/>
        </ext>
      </extLst>
    </cacheHierarchy>
    <cacheHierarchy uniqueName="[Measures].[Sum of CustomerID]" caption="Sum of CustomerID" measure="1" displayFolder="" measureGroup="Sales" count="0">
      <extLst>
        <ext xmlns:x15="http://schemas.microsoft.com/office/spreadsheetml/2010/11/main" uri="{B97F6D7D-B522-45F9-BDA1-12C45D357490}">
          <x15:cacheHierarchy aggregatedColumn="28"/>
        </ext>
      </extLst>
    </cacheHierarchy>
    <cacheHierarchy uniqueName="[Measures].[Distinct Count of CustomerID]" caption="Distinct Count of CustomerID" measure="1" displayFolder="" measureGroup="Sales" count="0">
      <extLst>
        <ext xmlns:x15="http://schemas.microsoft.com/office/spreadsheetml/2010/11/main" uri="{B97F6D7D-B522-45F9-BDA1-12C45D357490}">
          <x15:cacheHierarchy aggregatedColumn="28"/>
        </ext>
      </extLst>
    </cacheHierarchy>
    <cacheHierarchy uniqueName="[Measures].[Sum of BrandID]" caption="Sum of BrandID" measure="1" displayFolder="" measureGroup="Brands" count="0">
      <extLst>
        <ext xmlns:x15="http://schemas.microsoft.com/office/spreadsheetml/2010/11/main" uri="{B97F6D7D-B522-45F9-BDA1-12C45D357490}">
          <x15:cacheHierarchy aggregatedColumn="4"/>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6"/>
        </ext>
      </extLst>
    </cacheHierarchy>
    <cacheHierarchy uniqueName="[Measures].[Sum of TotalAmount]" caption="Sum of TotalAmount" measure="1" displayFolder="" measureGroup="Sales" count="0" oneField="1">
      <fieldsUsage count="1">
        <fieldUsage x="1"/>
      </fieldsUsage>
      <extLst>
        <ext xmlns:x15="http://schemas.microsoft.com/office/spreadsheetml/2010/11/main" uri="{B97F6D7D-B522-45F9-BDA1-12C45D357490}">
          <x15:cacheHierarchy aggregatedColumn="35"/>
        </ext>
      </extLst>
    </cacheHierarchy>
    <cacheHierarchy uniqueName="[Measures].[Sum of Price 2]" caption="Sum of Price 2" measure="1" displayFolder="" measureGroup="Sales" count="0">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22"/>
        </ext>
      </extLst>
    </cacheHierarchy>
    <cacheHierarchy uniqueName="[Measures].[Count of PaymentMethod]" caption="Count of PaymentMethod" measure="1" displayFolder="" measureGroup="Sales" count="0">
      <extLst>
        <ext xmlns:x15="http://schemas.microsoft.com/office/spreadsheetml/2010/11/main" uri="{B97F6D7D-B522-45F9-BDA1-12C45D357490}">
          <x15:cacheHierarchy aggregatedColumn="33"/>
        </ext>
      </extLst>
    </cacheHierarchy>
    <cacheHierarchy uniqueName="[Measures].[Count of BrandName]" caption="Count of BrandName" measure="1" displayFolder="" measureGroup="Brands" count="0">
      <extLst>
        <ext xmlns:x15="http://schemas.microsoft.com/office/spreadsheetml/2010/11/main" uri="{B97F6D7D-B522-45F9-BDA1-12C45D357490}">
          <x15:cacheHierarchy aggregatedColumn="5"/>
        </ext>
      </extLst>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trl-Halim" refreshedDate="46240.289356597219" createdVersion="8" refreshedVersion="8" minRefreshableVersion="3" recordCount="0" supportSubquery="1" supportAdvancedDrill="1" xr:uid="{9C13B548-78E7-4FBF-BE47-5AD90B7E3C9E}">
  <cacheSource type="external" connectionId="10"/>
  <cacheFields count="3">
    <cacheField name="[Measures].[Sum of TotalAmount]" caption="Sum of TotalAmount" numFmtId="0" hierarchy="47" level="32767"/>
    <cacheField name="[Products].[Brand].[Brand]" caption="Brand" numFmtId="0" hierarchy="25" level="1">
      <sharedItems count="5">
        <s v="Brand A"/>
        <s v="Brand B"/>
        <s v="Brand C"/>
        <s v="Brand D"/>
        <s v="Brand E"/>
      </sharedItems>
    </cacheField>
    <cacheField name="[Products].[Category].[Category]" caption="Category" numFmtId="0" hierarchy="24" level="1">
      <sharedItems containsSemiMixedTypes="0" containsNonDate="0" containsString="0"/>
    </cacheField>
  </cacheFields>
  <cacheHierarchies count="6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Price]" caption="Price" attribute="1" defaultMemberUniqueName="[Sales].[Price].[All]" allUniqueName="[Sales].[Price].[All]" dimensionUniqueName="[Sales]" displayFolder="" count="0" memberValueDatatype="5" unbalanced="0"/>
    <cacheHierarchy uniqueName="[Sales].[TotalAmount]" caption="TotalAmount" attribute="1" defaultMemberUniqueName="[Sales].[TotalAmount].[All]" allUniqueName="[Sales].[TotalAmoun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s)]" caption="Date (Months)" attribute="1" defaultMemberUniqueName="[Sales].[Date (Months)].[All]" allUniqueName="[Sales].[Date (Months)].[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Date]" caption="Count of Date" measure="1" displayFolder="" measureGroup="Sales" count="0">
      <extLst>
        <ext xmlns:x15="http://schemas.microsoft.com/office/spreadsheetml/2010/11/main" uri="{B97F6D7D-B522-45F9-BDA1-12C45D357490}">
          <x15:cacheHierarchy aggregatedColumn="31"/>
        </ext>
      </extLst>
    </cacheHierarchy>
    <cacheHierarchy uniqueName="[Measures].[Sum of CustomerID]" caption="Sum of CustomerID" measure="1" displayFolder="" measureGroup="Sales" count="0">
      <extLst>
        <ext xmlns:x15="http://schemas.microsoft.com/office/spreadsheetml/2010/11/main" uri="{B97F6D7D-B522-45F9-BDA1-12C45D357490}">
          <x15:cacheHierarchy aggregatedColumn="28"/>
        </ext>
      </extLst>
    </cacheHierarchy>
    <cacheHierarchy uniqueName="[Measures].[Distinct Count of CustomerID]" caption="Distinct Count of CustomerID" measure="1" displayFolder="" measureGroup="Sales" count="0">
      <extLst>
        <ext xmlns:x15="http://schemas.microsoft.com/office/spreadsheetml/2010/11/main" uri="{B97F6D7D-B522-45F9-BDA1-12C45D357490}">
          <x15:cacheHierarchy aggregatedColumn="28"/>
        </ext>
      </extLst>
    </cacheHierarchy>
    <cacheHierarchy uniqueName="[Measures].[Sum of BrandID]" caption="Sum of BrandID" measure="1" displayFolder="" measureGroup="Brands" count="0">
      <extLst>
        <ext xmlns:x15="http://schemas.microsoft.com/office/spreadsheetml/2010/11/main" uri="{B97F6D7D-B522-45F9-BDA1-12C45D357490}">
          <x15:cacheHierarchy aggregatedColumn="4"/>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6"/>
        </ext>
      </extLst>
    </cacheHierarchy>
    <cacheHierarchy uniqueName="[Measures].[Sum of TotalAmount]" caption="Sum of TotalAmount" measure="1" displayFolder="" measureGroup="Sales" count="0" oneField="1">
      <fieldsUsage count="1">
        <fieldUsage x="0"/>
      </fieldsUsage>
      <extLst>
        <ext xmlns:x15="http://schemas.microsoft.com/office/spreadsheetml/2010/11/main" uri="{B97F6D7D-B522-45F9-BDA1-12C45D357490}">
          <x15:cacheHierarchy aggregatedColumn="35"/>
        </ext>
      </extLst>
    </cacheHierarchy>
    <cacheHierarchy uniqueName="[Measures].[Sum of Price 2]" caption="Sum of Price 2" measure="1" displayFolder="" measureGroup="Sales" count="0">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22"/>
        </ext>
      </extLst>
    </cacheHierarchy>
    <cacheHierarchy uniqueName="[Measures].[Count of PaymentMethod]" caption="Count of PaymentMethod" measure="1" displayFolder="" measureGroup="Sales" count="0">
      <extLst>
        <ext xmlns:x15="http://schemas.microsoft.com/office/spreadsheetml/2010/11/main" uri="{B97F6D7D-B522-45F9-BDA1-12C45D357490}">
          <x15:cacheHierarchy aggregatedColumn="33"/>
        </ext>
      </extLst>
    </cacheHierarchy>
    <cacheHierarchy uniqueName="[Measures].[Count of BrandName]" caption="Count of BrandName" measure="1" displayFolder="" measureGroup="Brands" count="0">
      <extLst>
        <ext xmlns:x15="http://schemas.microsoft.com/office/spreadsheetml/2010/11/main" uri="{B97F6D7D-B522-45F9-BDA1-12C45D357490}">
          <x15:cacheHierarchy aggregatedColumn="5"/>
        </ext>
      </extLst>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trl-Halim" refreshedDate="46240.289356944442" createdVersion="8" refreshedVersion="8" minRefreshableVersion="3" recordCount="0" supportSubquery="1" supportAdvancedDrill="1" xr:uid="{1C6F25AC-9F51-4B8A-8CA6-8F1474DEFB27}">
  <cacheSource type="external" connectionId="10"/>
  <cacheFields count="3">
    <cacheField name="[Measures].[Sum of TotalAmount]" caption="Sum of TotalAmount" numFmtId="0" hierarchy="47" level="32767"/>
    <cacheField name="[Sales].[Date (Months)].[Date (Months)]" caption="Date (Months)" numFmtId="0" hierarchy="39" level="1">
      <sharedItems count="12">
        <s v="Jan"/>
        <s v="Feb"/>
        <s v="Mar"/>
        <s v="Apr"/>
        <s v="May"/>
        <s v="Jun"/>
        <s v="Jul"/>
        <s v="Aug"/>
        <s v="Sep"/>
        <s v="Oct"/>
        <s v="Nov"/>
        <s v="Dec"/>
      </sharedItems>
    </cacheField>
    <cacheField name="[Products].[Category].[Category]" caption="Category" numFmtId="0" hierarchy="24" level="1">
      <sharedItems containsSemiMixedTypes="0" containsNonDate="0" containsString="0"/>
    </cacheField>
  </cacheFields>
  <cacheHierarchies count="6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Price]" caption="Price" attribute="1" defaultMemberUniqueName="[Sales].[Price].[All]" allUniqueName="[Sales].[Price].[All]" dimensionUniqueName="[Sales]" displayFolder="" count="0" memberValueDatatype="5" unbalanced="0"/>
    <cacheHierarchy uniqueName="[Sales].[TotalAmount]" caption="TotalAmount" attribute="1" defaultMemberUniqueName="[Sales].[TotalAmount].[All]" allUniqueName="[Sales].[TotalAmoun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s)]" caption="Date (Months)" attribute="1" defaultMemberUniqueName="[Sales].[Date (Months)].[All]" allUniqueName="[Sales].[Date (Months)].[All]" dimensionUniqueName="[Sales]" displayFolder="" count="2" memberValueDatatype="130" unbalanced="0">
      <fieldsUsage count="2">
        <fieldUsage x="-1"/>
        <fieldUsage x="1"/>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Date]" caption="Count of Date" measure="1" displayFolder="" measureGroup="Sales" count="0">
      <extLst>
        <ext xmlns:x15="http://schemas.microsoft.com/office/spreadsheetml/2010/11/main" uri="{B97F6D7D-B522-45F9-BDA1-12C45D357490}">
          <x15:cacheHierarchy aggregatedColumn="31"/>
        </ext>
      </extLst>
    </cacheHierarchy>
    <cacheHierarchy uniqueName="[Measures].[Sum of CustomerID]" caption="Sum of CustomerID" measure="1" displayFolder="" measureGroup="Sales" count="0">
      <extLst>
        <ext xmlns:x15="http://schemas.microsoft.com/office/spreadsheetml/2010/11/main" uri="{B97F6D7D-B522-45F9-BDA1-12C45D357490}">
          <x15:cacheHierarchy aggregatedColumn="28"/>
        </ext>
      </extLst>
    </cacheHierarchy>
    <cacheHierarchy uniqueName="[Measures].[Distinct Count of CustomerID]" caption="Distinct Count of CustomerID" measure="1" displayFolder="" measureGroup="Sales" count="0">
      <extLst>
        <ext xmlns:x15="http://schemas.microsoft.com/office/spreadsheetml/2010/11/main" uri="{B97F6D7D-B522-45F9-BDA1-12C45D357490}">
          <x15:cacheHierarchy aggregatedColumn="28"/>
        </ext>
      </extLst>
    </cacheHierarchy>
    <cacheHierarchy uniqueName="[Measures].[Sum of BrandID]" caption="Sum of BrandID" measure="1" displayFolder="" measureGroup="Brands" count="0">
      <extLst>
        <ext xmlns:x15="http://schemas.microsoft.com/office/spreadsheetml/2010/11/main" uri="{B97F6D7D-B522-45F9-BDA1-12C45D357490}">
          <x15:cacheHierarchy aggregatedColumn="4"/>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6"/>
        </ext>
      </extLst>
    </cacheHierarchy>
    <cacheHierarchy uniqueName="[Measures].[Sum of TotalAmount]" caption="Sum of TotalAmount" measure="1" displayFolder="" measureGroup="Sales" count="0" oneField="1">
      <fieldsUsage count="1">
        <fieldUsage x="0"/>
      </fieldsUsage>
      <extLst>
        <ext xmlns:x15="http://schemas.microsoft.com/office/spreadsheetml/2010/11/main" uri="{B97F6D7D-B522-45F9-BDA1-12C45D357490}">
          <x15:cacheHierarchy aggregatedColumn="35"/>
        </ext>
      </extLst>
    </cacheHierarchy>
    <cacheHierarchy uniqueName="[Measures].[Sum of Price 2]" caption="Sum of Price 2" measure="1" displayFolder="" measureGroup="Sales" count="0">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22"/>
        </ext>
      </extLst>
    </cacheHierarchy>
    <cacheHierarchy uniqueName="[Measures].[Count of PaymentMethod]" caption="Count of PaymentMethod" measure="1" displayFolder="" measureGroup="Sales" count="0">
      <extLst>
        <ext xmlns:x15="http://schemas.microsoft.com/office/spreadsheetml/2010/11/main" uri="{B97F6D7D-B522-45F9-BDA1-12C45D357490}">
          <x15:cacheHierarchy aggregatedColumn="33"/>
        </ext>
      </extLst>
    </cacheHierarchy>
    <cacheHierarchy uniqueName="[Measures].[Count of BrandName]" caption="Count of BrandName" measure="1" displayFolder="" measureGroup="Brands" count="0">
      <extLst>
        <ext xmlns:x15="http://schemas.microsoft.com/office/spreadsheetml/2010/11/main" uri="{B97F6D7D-B522-45F9-BDA1-12C45D357490}">
          <x15:cacheHierarchy aggregatedColumn="5"/>
        </ext>
      </extLst>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trl-Halim" refreshedDate="46240.289357291666" createdVersion="8" refreshedVersion="8" minRefreshableVersion="3" recordCount="0" supportSubquery="1" supportAdvancedDrill="1" xr:uid="{D5652DAA-F4CD-4276-8E34-94643F08C921}">
  <cacheSource type="external" connectionId="10"/>
  <cacheFields count="4">
    <cacheField name="[PaymentMethods].[PaymentMethod].[PaymentMethod]" caption="PaymentMethod" numFmtId="0" hierarchy="21" level="1">
      <sharedItems count="4">
        <s v="Bank Transfer"/>
        <s v="Cash"/>
        <s v="Credit Card"/>
        <s v="PayPal"/>
      </sharedItems>
    </cacheField>
    <cacheField name="[Measures].[Sum of TotalAmount]" caption="Sum of TotalAmount" numFmtId="0" hierarchy="47" level="32767"/>
    <cacheField name="[Sales].[PaymentMethod].[PaymentMethod]" caption="PaymentMethod" numFmtId="0" hierarchy="33"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6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Method]" caption="PaymentMethod" attribute="1" defaultMemberUniqueName="[Sales].[PaymentMethod].[All]" allUniqueName="[Sales].[PaymentMethod].[All]" dimensionUniqueName="[Sales]" displayFolder="" count="2" memberValueDatatype="130" unbalanced="0">
      <fieldsUsage count="2">
        <fieldUsage x="-1"/>
        <fieldUsage x="2"/>
      </fieldsUsage>
    </cacheHierarchy>
    <cacheHierarchy uniqueName="[Sales].[Price]" caption="Price" attribute="1" defaultMemberUniqueName="[Sales].[Price].[All]" allUniqueName="[Sales].[Price].[All]" dimensionUniqueName="[Sales]" displayFolder="" count="0" memberValueDatatype="5" unbalanced="0"/>
    <cacheHierarchy uniqueName="[Sales].[TotalAmount]" caption="TotalAmount" attribute="1" defaultMemberUniqueName="[Sales].[TotalAmount].[All]" allUniqueName="[Sales].[TotalAmoun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s)]" caption="Date (Months)" attribute="1" defaultMemberUniqueName="[Sales].[Date (Months)].[All]" allUniqueName="[Sales].[Date (Months)].[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Date]" caption="Count of Date" measure="1" displayFolder="" measureGroup="Sales" count="0">
      <extLst>
        <ext xmlns:x15="http://schemas.microsoft.com/office/spreadsheetml/2010/11/main" uri="{B97F6D7D-B522-45F9-BDA1-12C45D357490}">
          <x15:cacheHierarchy aggregatedColumn="31"/>
        </ext>
      </extLst>
    </cacheHierarchy>
    <cacheHierarchy uniqueName="[Measures].[Sum of CustomerID]" caption="Sum of CustomerID" measure="1" displayFolder="" measureGroup="Sales" count="0">
      <extLst>
        <ext xmlns:x15="http://schemas.microsoft.com/office/spreadsheetml/2010/11/main" uri="{B97F6D7D-B522-45F9-BDA1-12C45D357490}">
          <x15:cacheHierarchy aggregatedColumn="28"/>
        </ext>
      </extLst>
    </cacheHierarchy>
    <cacheHierarchy uniqueName="[Measures].[Distinct Count of CustomerID]" caption="Distinct Count of CustomerID" measure="1" displayFolder="" measureGroup="Sales" count="0">
      <extLst>
        <ext xmlns:x15="http://schemas.microsoft.com/office/spreadsheetml/2010/11/main" uri="{B97F6D7D-B522-45F9-BDA1-12C45D357490}">
          <x15:cacheHierarchy aggregatedColumn="28"/>
        </ext>
      </extLst>
    </cacheHierarchy>
    <cacheHierarchy uniqueName="[Measures].[Sum of BrandID]" caption="Sum of BrandID" measure="1" displayFolder="" measureGroup="Brands" count="0">
      <extLst>
        <ext xmlns:x15="http://schemas.microsoft.com/office/spreadsheetml/2010/11/main" uri="{B97F6D7D-B522-45F9-BDA1-12C45D357490}">
          <x15:cacheHierarchy aggregatedColumn="4"/>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6"/>
        </ext>
      </extLst>
    </cacheHierarchy>
    <cacheHierarchy uniqueName="[Measures].[Sum of TotalAmount]" caption="Sum of TotalAmount" measure="1" displayFolder="" measureGroup="Sales" count="0" oneField="1">
      <fieldsUsage count="1">
        <fieldUsage x="1"/>
      </fieldsUsage>
      <extLst>
        <ext xmlns:x15="http://schemas.microsoft.com/office/spreadsheetml/2010/11/main" uri="{B97F6D7D-B522-45F9-BDA1-12C45D357490}">
          <x15:cacheHierarchy aggregatedColumn="35"/>
        </ext>
      </extLst>
    </cacheHierarchy>
    <cacheHierarchy uniqueName="[Measures].[Sum of Price 2]" caption="Sum of Price 2" measure="1" displayFolder="" measureGroup="Sales" count="0">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22"/>
        </ext>
      </extLst>
    </cacheHierarchy>
    <cacheHierarchy uniqueName="[Measures].[Count of PaymentMethod]" caption="Count of PaymentMethod" measure="1" displayFolder="" measureGroup="Sales" count="0">
      <extLst>
        <ext xmlns:x15="http://schemas.microsoft.com/office/spreadsheetml/2010/11/main" uri="{B97F6D7D-B522-45F9-BDA1-12C45D357490}">
          <x15:cacheHierarchy aggregatedColumn="33"/>
        </ext>
      </extLst>
    </cacheHierarchy>
    <cacheHierarchy uniqueName="[Measures].[Count of BrandName]" caption="Count of BrandName" measure="1" displayFolder="" measureGroup="Brands" count="0">
      <extLst>
        <ext xmlns:x15="http://schemas.microsoft.com/office/spreadsheetml/2010/11/main" uri="{B97F6D7D-B522-45F9-BDA1-12C45D357490}">
          <x15:cacheHierarchy aggregatedColumn="5"/>
        </ext>
      </extLst>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trl-Halim" refreshedDate="46240.289357407404" createdVersion="8" refreshedVersion="8" minRefreshableVersion="3" recordCount="0" supportSubquery="1" supportAdvancedDrill="1" xr:uid="{0B85A8F3-0B77-4EB9-B16A-6C1D5B1B038F}">
  <cacheSource type="external" connectionId="10"/>
  <cacheFields count="2">
    <cacheField name="[Measures].[Sum of TotalAmount]" caption="Sum of TotalAmount" numFmtId="0" hierarchy="47" level="32767"/>
    <cacheField name="[Products].[Category].[Category]" caption="Category" numFmtId="0" hierarchy="24" level="1">
      <sharedItems containsSemiMixedTypes="0" containsNonDate="0" containsString="0"/>
    </cacheField>
  </cacheFields>
  <cacheHierarchies count="6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Price]" caption="Price" attribute="1" defaultMemberUniqueName="[Sales].[Price].[All]" allUniqueName="[Sales].[Price].[All]" dimensionUniqueName="[Sales]" displayFolder="" count="0" memberValueDatatype="5" unbalanced="0"/>
    <cacheHierarchy uniqueName="[Sales].[TotalAmount]" caption="TotalAmount" attribute="1" defaultMemberUniqueName="[Sales].[TotalAmount].[All]" allUniqueName="[Sales].[TotalAmoun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s)]" caption="Date (Months)" attribute="1" defaultMemberUniqueName="[Sales].[Date (Months)].[All]" allUniqueName="[Sales].[Date (Months)].[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Date]" caption="Count of Date" measure="1" displayFolder="" measureGroup="Sales" count="0">
      <extLst>
        <ext xmlns:x15="http://schemas.microsoft.com/office/spreadsheetml/2010/11/main" uri="{B97F6D7D-B522-45F9-BDA1-12C45D357490}">
          <x15:cacheHierarchy aggregatedColumn="31"/>
        </ext>
      </extLst>
    </cacheHierarchy>
    <cacheHierarchy uniqueName="[Measures].[Sum of CustomerID]" caption="Sum of CustomerID" measure="1" displayFolder="" measureGroup="Sales" count="0">
      <extLst>
        <ext xmlns:x15="http://schemas.microsoft.com/office/spreadsheetml/2010/11/main" uri="{B97F6D7D-B522-45F9-BDA1-12C45D357490}">
          <x15:cacheHierarchy aggregatedColumn="28"/>
        </ext>
      </extLst>
    </cacheHierarchy>
    <cacheHierarchy uniqueName="[Measures].[Distinct Count of CustomerID]" caption="Distinct Count of CustomerID" measure="1" displayFolder="" measureGroup="Sales" count="0">
      <extLst>
        <ext xmlns:x15="http://schemas.microsoft.com/office/spreadsheetml/2010/11/main" uri="{B97F6D7D-B522-45F9-BDA1-12C45D357490}">
          <x15:cacheHierarchy aggregatedColumn="28"/>
        </ext>
      </extLst>
    </cacheHierarchy>
    <cacheHierarchy uniqueName="[Measures].[Sum of BrandID]" caption="Sum of BrandID" measure="1" displayFolder="" measureGroup="Brands" count="0">
      <extLst>
        <ext xmlns:x15="http://schemas.microsoft.com/office/spreadsheetml/2010/11/main" uri="{B97F6D7D-B522-45F9-BDA1-12C45D357490}">
          <x15:cacheHierarchy aggregatedColumn="4"/>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6"/>
        </ext>
      </extLst>
    </cacheHierarchy>
    <cacheHierarchy uniqueName="[Measures].[Sum of TotalAmount]" caption="Sum of TotalAmount" measure="1" displayFolder="" measureGroup="Sales" count="0" oneField="1">
      <fieldsUsage count="1">
        <fieldUsage x="0"/>
      </fieldsUsage>
      <extLst>
        <ext xmlns:x15="http://schemas.microsoft.com/office/spreadsheetml/2010/11/main" uri="{B97F6D7D-B522-45F9-BDA1-12C45D357490}">
          <x15:cacheHierarchy aggregatedColumn="35"/>
        </ext>
      </extLst>
    </cacheHierarchy>
    <cacheHierarchy uniqueName="[Measures].[Sum of Price 2]" caption="Sum of Price 2" measure="1" displayFolder="" measureGroup="Sales" count="0">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22"/>
        </ext>
      </extLst>
    </cacheHierarchy>
    <cacheHierarchy uniqueName="[Measures].[Count of PaymentMethod]" caption="Count of PaymentMethod" measure="1" displayFolder="" measureGroup="Sales" count="0">
      <extLst>
        <ext xmlns:x15="http://schemas.microsoft.com/office/spreadsheetml/2010/11/main" uri="{B97F6D7D-B522-45F9-BDA1-12C45D357490}">
          <x15:cacheHierarchy aggregatedColumn="33"/>
        </ext>
      </extLst>
    </cacheHierarchy>
    <cacheHierarchy uniqueName="[Measures].[Count of BrandName]" caption="Count of BrandName" measure="1" displayFolder="" measureGroup="Brands" count="0">
      <extLst>
        <ext xmlns:x15="http://schemas.microsoft.com/office/spreadsheetml/2010/11/main" uri="{B97F6D7D-B522-45F9-BDA1-12C45D357490}">
          <x15:cacheHierarchy aggregatedColumn="5"/>
        </ext>
      </extLst>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trl-Halim" refreshedDate="46239.089231828701" createdVersion="3" refreshedVersion="8" minRefreshableVersion="3" recordCount="0" supportSubquery="1" supportAdvancedDrill="1" xr:uid="{642BA86F-9D32-45E3-88BE-526A8E10011F}">
  <cacheSource type="external" connectionId="10">
    <extLst>
      <ext xmlns:x14="http://schemas.microsoft.com/office/spreadsheetml/2009/9/main" uri="{F057638F-6D5F-4e77-A914-E7F072B9BCA8}">
        <x14:sourceConnection name="ThisWorkbookDataModel"/>
      </ext>
    </extLst>
  </cacheSource>
  <cacheFields count="0"/>
  <cacheHierarchies count="6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ustomerEmail]" caption="CustomerEmail" attribute="1" defaultMemberUniqueName="[Customers].[CustomerEmail].[All]" allUniqueName="[Customers].[Customer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Price]" caption="Price" attribute="1" defaultMemberUniqueName="[Sales].[Price].[All]" allUniqueName="[Sales].[Price].[All]" dimensionUniqueName="[Sales]" displayFolder="" count="0" memberValueDatatype="5" unbalanced="0"/>
    <cacheHierarchy uniqueName="[Sales].[TotalAmount]" caption="TotalAmount" attribute="1" defaultMemberUniqueName="[Sales].[TotalAmount].[All]" allUniqueName="[Sales].[TotalAmoun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s)]" caption="Date (Months)" attribute="1" defaultMemberUniqueName="[Sales].[Date (Months)].[All]" allUniqueName="[Sales].[Date (Months)].[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Count of Date]" caption="Count of Date" measure="1" displayFolder="" measureGroup="Sales" count="0">
      <extLst>
        <ext xmlns:x15="http://schemas.microsoft.com/office/spreadsheetml/2010/11/main" uri="{B97F6D7D-B522-45F9-BDA1-12C45D357490}">
          <x15:cacheHierarchy aggregatedColumn="31"/>
        </ext>
      </extLst>
    </cacheHierarchy>
    <cacheHierarchy uniqueName="[Measures].[Sum of CustomerID]" caption="Sum of CustomerID" measure="1" displayFolder="" measureGroup="Sales" count="0">
      <extLst>
        <ext xmlns:x15="http://schemas.microsoft.com/office/spreadsheetml/2010/11/main" uri="{B97F6D7D-B522-45F9-BDA1-12C45D357490}">
          <x15:cacheHierarchy aggregatedColumn="28"/>
        </ext>
      </extLst>
    </cacheHierarchy>
    <cacheHierarchy uniqueName="[Measures].[Distinct Count of CustomerID]" caption="Distinct Count of CustomerID" measure="1" displayFolder="" measureGroup="Sales" count="0">
      <extLst>
        <ext xmlns:x15="http://schemas.microsoft.com/office/spreadsheetml/2010/11/main" uri="{B97F6D7D-B522-45F9-BDA1-12C45D357490}">
          <x15:cacheHierarchy aggregatedColumn="28"/>
        </ext>
      </extLst>
    </cacheHierarchy>
    <cacheHierarchy uniqueName="[Measures].[Sum of BrandID]" caption="Sum of BrandID" measure="1" displayFolder="" measureGroup="Brands" count="0">
      <extLst>
        <ext xmlns:x15="http://schemas.microsoft.com/office/spreadsheetml/2010/11/main" uri="{B97F6D7D-B522-45F9-BDA1-12C45D357490}">
          <x15:cacheHierarchy aggregatedColumn="4"/>
        </ext>
      </extLst>
    </cacheHierarchy>
    <cacheHierarchy uniqueName="[Measures].[Sum of SaleID]" caption="Sum of SaleID" measure="1" displayFolder="" measureGroup="Sales" count="0">
      <extLst>
        <ext xmlns:x15="http://schemas.microsoft.com/office/spreadsheetml/2010/11/main" uri="{B97F6D7D-B522-45F9-BDA1-12C45D357490}">
          <x15:cacheHierarchy aggregatedColumn="27"/>
        </ext>
      </extLst>
    </cacheHierarchy>
    <cacheHierarchy uniqueName="[Measures].[Sum of Price]" caption="Sum of Price" measure="1" displayFolder="" measureGroup="Products" count="0">
      <extLst>
        <ext xmlns:x15="http://schemas.microsoft.com/office/spreadsheetml/2010/11/main" uri="{B97F6D7D-B522-45F9-BDA1-12C45D357490}">
          <x15:cacheHierarchy aggregatedColumn="26"/>
        </ext>
      </extLst>
    </cacheHierarchy>
    <cacheHierarchy uniqueName="[Measures].[Sum of TotalAmount]" caption="Sum of TotalAmount" measure="1" displayFolder="" measureGroup="Sales" count="0">
      <extLst>
        <ext xmlns:x15="http://schemas.microsoft.com/office/spreadsheetml/2010/11/main" uri="{B97F6D7D-B522-45F9-BDA1-12C45D357490}">
          <x15:cacheHierarchy aggregatedColumn="35"/>
        </ext>
      </extLst>
    </cacheHierarchy>
    <cacheHierarchy uniqueName="[Measures].[Sum of Price 2]" caption="Sum of Price 2" measure="1" displayFolder="" measureGroup="Sales" count="0">
      <extLst>
        <ext xmlns:x15="http://schemas.microsoft.com/office/spreadsheetml/2010/11/main" uri="{B97F6D7D-B522-45F9-BDA1-12C45D357490}">
          <x15:cacheHierarchy aggregatedColumn="34"/>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22"/>
        </ext>
      </extLst>
    </cacheHierarchy>
    <cacheHierarchy uniqueName="[Measures].[Count of PaymentMethod]" caption="Count of PaymentMethod" measure="1" displayFolder="" measureGroup="Sales" count="0">
      <extLst>
        <ext xmlns:x15="http://schemas.microsoft.com/office/spreadsheetml/2010/11/main" uri="{B97F6D7D-B522-45F9-BDA1-12C45D357490}">
          <x15:cacheHierarchy aggregatedColumn="33"/>
        </ext>
      </extLst>
    </cacheHierarchy>
    <cacheHierarchy uniqueName="[Measures].[Count of BrandName]" caption="Count of BrandName" measure="1" displayFolder="" measureGroup="Brands" count="0">
      <extLst>
        <ext xmlns:x15="http://schemas.microsoft.com/office/spreadsheetml/2010/11/main" uri="{B97F6D7D-B522-45F9-BDA1-12C45D357490}">
          <x15:cacheHierarchy aggregatedColumn="5"/>
        </ext>
      </extLst>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09569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1B206-579F-4B86-AE77-97C55EAAE96A}" name="brand" cacheId="380" applyNumberFormats="0" applyBorderFormats="0" applyFontFormats="0" applyPatternFormats="0" applyAlignmentFormats="0" applyWidthHeightFormats="1" dataCaption="Values" tag="9e2c6267-e426-41a7-b942-76e32ed00ccc" updatedVersion="8" minRefreshableVersion="3" useAutoFormatting="1" subtotalHiddenItems="1" itemPrintTitles="1" createdVersion="8" indent="0" outline="1" outlineData="1" multipleFieldFilters="0" chartFormat="2" rowHeaderCaption="Brand">
  <location ref="E2:F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Sales" fld="0" baseField="0" baseItem="0"/>
  </dataFields>
  <formats count="12">
    <format dxfId="417">
      <pivotArea type="all" dataOnly="0" outline="0" fieldPosition="0"/>
    </format>
    <format dxfId="416">
      <pivotArea outline="0" collapsedLevelsAreSubtotals="1" fieldPosition="0"/>
    </format>
    <format dxfId="415">
      <pivotArea field="1" type="button" dataOnly="0" labelOnly="1" outline="0" axis="axisRow" fieldPosition="0"/>
    </format>
    <format dxfId="414">
      <pivotArea dataOnly="0" labelOnly="1" fieldPosition="0">
        <references count="1">
          <reference field="1" count="0"/>
        </references>
      </pivotArea>
    </format>
    <format dxfId="413">
      <pivotArea dataOnly="0" labelOnly="1" grandRow="1" outline="0" fieldPosition="0"/>
    </format>
    <format dxfId="412">
      <pivotArea dataOnly="0" labelOnly="1" outline="0" axis="axisValues" fieldPosition="0"/>
    </format>
    <format dxfId="411">
      <pivotArea type="all" dataOnly="0" outline="0" fieldPosition="0"/>
    </format>
    <format dxfId="410">
      <pivotArea outline="0" collapsedLevelsAreSubtotals="1" fieldPosition="0"/>
    </format>
    <format dxfId="409">
      <pivotArea field="1" type="button" dataOnly="0" labelOnly="1" outline="0" axis="axisRow" fieldPosition="0"/>
    </format>
    <format dxfId="408">
      <pivotArea dataOnly="0" labelOnly="1" fieldPosition="0">
        <references count="1">
          <reference field="1" count="0"/>
        </references>
      </pivotArea>
    </format>
    <format dxfId="407">
      <pivotArea dataOnly="0" labelOnly="1" grandRow="1" outline="0" fieldPosition="0"/>
    </format>
    <format dxfId="406">
      <pivotArea dataOnly="0" labelOnly="1" outline="0" axis="axisValues" fieldPosition="0"/>
    </format>
  </formats>
  <pivotHierarchies count="60">
    <pivotHierarchy dragToData="1"/>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Brand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61DC62-CE41-4FBF-9F20-57CBD2D9F8B8}" name="Months" cacheId="383" applyNumberFormats="0" applyBorderFormats="0" applyFontFormats="0" applyPatternFormats="0" applyAlignmentFormats="0" applyWidthHeightFormats="1" dataCaption="Values" tag="b925d5ad-aeee-4e45-a299-a114b849004b" updatedVersion="8" minRefreshableVersion="3" useAutoFormatting="1" subtotalHiddenItems="1" itemPrintTitles="1" createdVersion="8" indent="0" outline="1" outlineData="1" multipleFieldFilters="0" chartFormat="10" rowHeaderCaption="Month">
  <location ref="H2:I1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Sales" fld="0" baseField="0" baseItem="0"/>
  </dataFields>
  <formats count="8">
    <format dxfId="425">
      <pivotArea type="all" dataOnly="0" outline="0" fieldPosition="0"/>
    </format>
    <format dxfId="424">
      <pivotArea outline="0" collapsedLevelsAreSubtotals="1" fieldPosition="0"/>
    </format>
    <format dxfId="423">
      <pivotArea dataOnly="0" labelOnly="1" grandRow="1" outline="0" fieldPosition="0"/>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dataOnly="0" labelOnly="1" grandRow="1" outline="0" fieldPosition="0"/>
    </format>
    <format dxfId="418">
      <pivotArea dataOnly="0" labelOnly="1" outline="0" axis="axisValues" fieldPosition="0"/>
    </format>
  </formats>
  <chartFormats count="13">
    <chartFormat chart="3" format="2"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0"/>
          </reference>
        </references>
      </pivotArea>
    </chartFormat>
    <chartFormat chart="3" format="16">
      <pivotArea type="data" outline="0" fieldPosition="0">
        <references count="2">
          <reference field="4294967294" count="1" selected="0">
            <x v="0"/>
          </reference>
          <reference field="1" count="1" selected="0">
            <x v="1"/>
          </reference>
        </references>
      </pivotArea>
    </chartFormat>
    <chartFormat chart="3" format="17">
      <pivotArea type="data" outline="0" fieldPosition="0">
        <references count="2">
          <reference field="4294967294" count="1" selected="0">
            <x v="0"/>
          </reference>
          <reference field="1" count="1" selected="0">
            <x v="2"/>
          </reference>
        </references>
      </pivotArea>
    </chartFormat>
    <chartFormat chart="3" format="18">
      <pivotArea type="data" outline="0" fieldPosition="0">
        <references count="2">
          <reference field="4294967294" count="1" selected="0">
            <x v="0"/>
          </reference>
          <reference field="1" count="1" selected="0">
            <x v="3"/>
          </reference>
        </references>
      </pivotArea>
    </chartFormat>
    <chartFormat chart="3" format="19">
      <pivotArea type="data" outline="0" fieldPosition="0">
        <references count="2">
          <reference field="4294967294" count="1" selected="0">
            <x v="0"/>
          </reference>
          <reference field="1" count="1" selected="0">
            <x v="4"/>
          </reference>
        </references>
      </pivotArea>
    </chartFormat>
    <chartFormat chart="3" format="20">
      <pivotArea type="data" outline="0" fieldPosition="0">
        <references count="2">
          <reference field="4294967294" count="1" selected="0">
            <x v="0"/>
          </reference>
          <reference field="1" count="1" selected="0">
            <x v="5"/>
          </reference>
        </references>
      </pivotArea>
    </chartFormat>
    <chartFormat chart="3" format="21">
      <pivotArea type="data" outline="0" fieldPosition="0">
        <references count="2">
          <reference field="4294967294" count="1" selected="0">
            <x v="0"/>
          </reference>
          <reference field="1" count="1" selected="0">
            <x v="6"/>
          </reference>
        </references>
      </pivotArea>
    </chartFormat>
    <chartFormat chart="3" format="22">
      <pivotArea type="data" outline="0" fieldPosition="0">
        <references count="2">
          <reference field="4294967294" count="1" selected="0">
            <x v="0"/>
          </reference>
          <reference field="1" count="1" selected="0">
            <x v="7"/>
          </reference>
        </references>
      </pivotArea>
    </chartFormat>
    <chartFormat chart="3" format="23">
      <pivotArea type="data" outline="0" fieldPosition="0">
        <references count="2">
          <reference field="4294967294" count="1" selected="0">
            <x v="0"/>
          </reference>
          <reference field="1" count="1" selected="0">
            <x v="8"/>
          </reference>
        </references>
      </pivotArea>
    </chartFormat>
    <chartFormat chart="3" format="24">
      <pivotArea type="data" outline="0" fieldPosition="0">
        <references count="2">
          <reference field="4294967294" count="1" selected="0">
            <x v="0"/>
          </reference>
          <reference field="1" count="1" selected="0">
            <x v="9"/>
          </reference>
        </references>
      </pivotArea>
    </chartFormat>
    <chartFormat chart="3" format="25">
      <pivotArea type="data" outline="0" fieldPosition="0">
        <references count="2">
          <reference field="4294967294" count="1" selected="0">
            <x v="0"/>
          </reference>
          <reference field="1" count="1" selected="0">
            <x v="10"/>
          </reference>
        </references>
      </pivotArea>
    </chartFormat>
    <chartFormat chart="3" format="26">
      <pivotArea type="data" outline="0" fieldPosition="0">
        <references count="2">
          <reference field="4294967294" count="1" selected="0">
            <x v="0"/>
          </reference>
          <reference field="1" count="1" selected="0">
            <x v="11"/>
          </reference>
        </references>
      </pivotArea>
    </chartFormat>
  </chartFormats>
  <pivotHierarchies count="60">
    <pivotHierarchy dragToData="1"/>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ayment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9E71E7-65C9-45EE-98F2-A38780038D6A}" name="Total Sales" cacheId="389" applyNumberFormats="0" applyBorderFormats="0" applyFontFormats="0" applyPatternFormats="0" applyAlignmentFormats="0" applyWidthHeightFormats="1" dataCaption="Values" tag="ed1b194c-c969-4ee9-844d-c3035507a11f" updatedVersion="8" minRefreshableVersion="3" useAutoFormatting="1" subtotalHiddenItems="1" itemPrintTitles="1" createdVersion="8" indent="0" outline="1" outlineData="1" multipleFieldFilters="0">
  <location ref="K8:K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formats count="7">
    <format dxfId="432">
      <pivotArea type="all" dataOnly="0" outline="0" fieldPosition="0"/>
    </format>
    <format dxfId="431">
      <pivotArea outline="0" collapsedLevelsAreSubtotals="1" fieldPosition="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dataOnly="0" labelOnly="1" outline="0" axis="axisValues" fieldPosition="0"/>
    </format>
    <format dxfId="426">
      <pivotArea outline="0" collapsedLevelsAreSubtotals="1" fieldPosition="0"/>
    </format>
  </formats>
  <pivotHierarchies count="60">
    <pivotHierarchy dragToData="1"/>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3CBEA-C0ED-4D21-9D89-ABB8E88D4BD0}" name="Active Customers" cacheId="374" applyNumberFormats="0" applyBorderFormats="0" applyFontFormats="0" applyPatternFormats="0" applyAlignmentFormats="0" applyWidthHeightFormats="1" dataCaption="Values" tag="888fe194-ef39-4f44-9128-1b90c1112820" updatedVersion="8" minRefreshableVersion="3" useAutoFormatting="1" subtotalHiddenItems="1" itemPrintTitles="1" createdVersion="8" indent="0" outline="1" outlineData="1" multipleFieldFilters="0">
  <location ref="K4:K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ctive Customers" fld="0" subtotal="count" baseField="0" baseItem="0">
      <extLst>
        <ext xmlns:x15="http://schemas.microsoft.com/office/spreadsheetml/2010/11/main" uri="{FABC7310-3BB5-11E1-824E-6D434824019B}">
          <x15:dataField isCountDistinct="1"/>
        </ext>
      </extLst>
    </dataField>
  </dataFields>
  <formats count="7">
    <format dxfId="439">
      <pivotArea type="all" dataOnly="0" outline="0" fieldPosition="0"/>
    </format>
    <format dxfId="438">
      <pivotArea outline="0" collapsedLevelsAreSubtotals="1" fieldPosition="0"/>
    </format>
    <format dxfId="437">
      <pivotArea dataOnly="0" labelOnly="1" outline="0" axis="axisValues" fieldPosition="0"/>
    </format>
    <format dxfId="436">
      <pivotArea type="all" dataOnly="0" outline="0" fieldPosition="0"/>
    </format>
    <format dxfId="435">
      <pivotArea outline="0" collapsedLevelsAreSubtotals="1" fieldPosition="0"/>
    </format>
    <format dxfId="434">
      <pivotArea dataOnly="0" labelOnly="1" outline="0" axis="axisValues" fieldPosition="0"/>
    </format>
    <format dxfId="433">
      <pivotArea outline="0" collapsedLevelsAreSubtotals="1" fieldPosition="0"/>
    </format>
  </formats>
  <pivotHierarchies count="60">
    <pivotHierarchy dragToData="1"/>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Active Customer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0244FD-8FC6-4E36-AB0F-072EC2B8893D}" name="Category/Brand Sales" cacheId="371" applyNumberFormats="0" applyBorderFormats="0" applyFontFormats="0" applyPatternFormats="0" applyAlignmentFormats="0" applyWidthHeightFormats="1" dataCaption="Values" tag="8d02e12e-2ba6-4429-9137-060ab198243e" updatedVersion="8" minRefreshableVersion="3" useAutoFormatting="1" subtotalHiddenItems="1" itemPrintTitles="1" createdVersion="8" indent="0" outline="1" outlineData="1" multipleFieldFilters="0" chartFormat="14" rowHeaderCaption="Category">
  <location ref="B11:C42"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0"/>
    <field x="2"/>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Total Sales" fld="1" baseField="0" baseItem="0"/>
  </dataFields>
  <formats count="12">
    <format dxfId="451">
      <pivotArea type="all" dataOnly="0" outline="0" fieldPosition="0"/>
    </format>
    <format dxfId="450">
      <pivotArea outline="0" collapsedLevelsAreSubtotals="1" fieldPosition="0"/>
    </format>
    <format dxfId="449">
      <pivotArea field="0" type="button" dataOnly="0" labelOnly="1" outline="0" axis="axisRow" fieldPosition="0"/>
    </format>
    <format dxfId="448">
      <pivotArea dataOnly="0" labelOnly="1" fieldPosition="0">
        <references count="1">
          <reference field="0" count="0"/>
        </references>
      </pivotArea>
    </format>
    <format dxfId="447">
      <pivotArea dataOnly="0" labelOnly="1" grandRow="1" outline="0" fieldPosition="0"/>
    </format>
    <format dxfId="446">
      <pivotArea dataOnly="0" labelOnly="1" outline="0" axis="axisValues" fieldPosition="0"/>
    </format>
    <format dxfId="445">
      <pivotArea type="all" dataOnly="0" outline="0" fieldPosition="0"/>
    </format>
    <format dxfId="444">
      <pivotArea outline="0" collapsedLevelsAreSubtotals="1" fieldPosition="0"/>
    </format>
    <format dxfId="443">
      <pivotArea field="0" type="button" dataOnly="0" labelOnly="1" outline="0" axis="axisRow" fieldPosition="0"/>
    </format>
    <format dxfId="442">
      <pivotArea dataOnly="0" labelOnly="1" fieldPosition="0">
        <references count="1">
          <reference field="0" count="0"/>
        </references>
      </pivotArea>
    </format>
    <format dxfId="441">
      <pivotArea dataOnly="0" labelOnly="1" grandRow="1" outline="0" fieldPosition="0"/>
    </format>
    <format dxfId="440">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60">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D]"/>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5D0CD5-1BF5-4A4E-86C7-B1CDE891DF72}" name="Branch" cacheId="377" applyNumberFormats="0" applyBorderFormats="0" applyFontFormats="0" applyPatternFormats="0" applyAlignmentFormats="0" applyWidthHeightFormats="1" dataCaption="Values" tag="9745c91a-b57f-49fb-b72f-284f258b9050" updatedVersion="8" minRefreshableVersion="3" useAutoFormatting="1" subtotalHiddenItems="1" itemPrintTitles="1" createdVersion="8" indent="0" outline="1" outlineData="1" multipleFieldFilters="0" chartFormat="10" rowHeaderCaption="Branch">
  <location ref="B2:C8" firstHeaderRow="1" firstDataRow="1" firstDataCol="1"/>
  <pivotFields count="3">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i>
    <i>
      <x v="4"/>
    </i>
    <i>
      <x v="2"/>
    </i>
    <i t="grand">
      <x/>
    </i>
  </rowItems>
  <colItems count="1">
    <i/>
  </colItems>
  <dataFields count="1">
    <dataField name="Total Sales" fld="1" baseField="0" baseItem="0"/>
  </dataFields>
  <formats count="12">
    <format dxfId="463">
      <pivotArea type="all" dataOnly="0" outline="0" fieldPosition="0"/>
    </format>
    <format dxfId="462">
      <pivotArea outline="0" collapsedLevelsAreSubtotals="1" fieldPosition="0"/>
    </format>
    <format dxfId="461">
      <pivotArea field="0" type="button" dataOnly="0" labelOnly="1" outline="0" axis="axisRow" fieldPosition="0"/>
    </format>
    <format dxfId="460">
      <pivotArea dataOnly="0" labelOnly="1" fieldPosition="0">
        <references count="1">
          <reference field="0" count="0"/>
        </references>
      </pivotArea>
    </format>
    <format dxfId="459">
      <pivotArea dataOnly="0" labelOnly="1" grandRow="1" outline="0" fieldPosition="0"/>
    </format>
    <format dxfId="458">
      <pivotArea dataOnly="0" labelOnly="1" outline="0" axis="axisValues" fieldPosition="0"/>
    </format>
    <format dxfId="457">
      <pivotArea type="all" dataOnly="0" outline="0" fieldPosition="0"/>
    </format>
    <format dxfId="456">
      <pivotArea outline="0" collapsedLevelsAreSubtotals="1" fieldPosition="0"/>
    </format>
    <format dxfId="455">
      <pivotArea field="0" type="button" dataOnly="0" labelOnly="1" outline="0" axis="axisRow" fieldPosition="0"/>
    </format>
    <format dxfId="454">
      <pivotArea dataOnly="0" labelOnly="1" fieldPosition="0">
        <references count="1">
          <reference field="0" count="0"/>
        </references>
      </pivotArea>
    </format>
    <format dxfId="453">
      <pivotArea dataOnly="0" labelOnly="1" grandRow="1" outline="0" fieldPosition="0"/>
    </format>
    <format dxfId="45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Hierarchies count="6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ayment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D6B49A-D57F-4238-A068-658A04DC30FC}" name="Payment Method" cacheId="386" applyNumberFormats="0" applyBorderFormats="0" applyFontFormats="0" applyPatternFormats="0" applyAlignmentFormats="0" applyWidthHeightFormats="1" dataCaption="Values" tag="a5bf2201-67de-41b1-96fb-73f99e2ae128" updatedVersion="8" minRefreshableVersion="3" useAutoFormatting="1" subtotalHiddenItems="1" itemPrintTitles="1" createdVersion="8" indent="0" outline="1" outlineData="1" multipleFieldFilters="0" chartFormat="7" rowHeaderCaption="Payment Method">
  <location ref="E11:F16"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Sales" fld="1"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60">
    <pivotHierarchy dragToData="1"/>
    <pivotHierarchy multipleItemSelectionAllowed="1"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aymentMethod].&amp;[Bank Transf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ethod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A7D33E6C-B1AD-4404-9B38-1E46C1FC7531}" sourceName="[Branches].[BranchName]">
  <pivotTables>
    <pivotTable tabId="1" name="Branch"/>
    <pivotTable tabId="1" name="Active Customers"/>
    <pivotTable tabId="1" name="brand"/>
    <pivotTable tabId="1" name="Category/Brand Sales"/>
    <pivotTable tabId="1" name="Months"/>
    <pivotTable tabId="1" name="Payment Method"/>
    <pivotTable tabId="1" name="Total Sales"/>
  </pivotTables>
  <data>
    <olap pivotCacheId="1650956917">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46FA47-823C-4AAB-8DC2-191A3471BF0E}" sourceName="[Products].[Category]">
  <pivotTables>
    <pivotTable tabId="1" name="Category/Brand Sales"/>
    <pivotTable tabId="1" name="Active Customers"/>
    <pivotTable tabId="1" name="Branch"/>
    <pivotTable tabId="1" name="brand"/>
    <pivotTable tabId="1" name="Months"/>
    <pivotTable tabId="1" name="Payment Method"/>
    <pivotTable tabId="1" name="Total Sales"/>
  </pivotTables>
  <data>
    <olap pivotCacheId="1650956917">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684E265B-B299-4DBF-96D3-2325526B28BC}" sourceName="[Products].[Brand]">
  <pivotTables>
    <pivotTable tabId="1" name="Category/Brand Sales"/>
    <pivotTable tabId="1" name="Active Customers"/>
    <pivotTable tabId="1" name="Branch"/>
    <pivotTable tabId="1" name="brand"/>
    <pivotTable tabId="1" name="Months"/>
    <pivotTable tabId="1" name="Payment Method"/>
    <pivotTable tabId="1" name="Total Sales"/>
  </pivotTables>
  <data>
    <olap pivotCacheId="1650956917">
      <levels count="2">
        <level uniqueName="[Products].[Brand].[(All)]" sourceCaption="(All)" count="0"/>
        <level uniqueName="[Products].[Brand].[Brand]" sourceCaption="Brand" count="5">
          <ranges>
            <range startItem="0">
              <i n="[Products].[Brand].&amp;[Brand A]" c="Brand A"/>
              <i n="[Products].[Brand].&amp;[Brand B]" c="Brand B"/>
              <i n="[Products].[Brand].&amp;[Brand C]" c="Brand C"/>
              <i n="[Products].[Brand].&amp;[Brand D]" c="Brand D"/>
              <i n="[Products].[Brand].&amp;[Brand E]" c="Brand E"/>
            </range>
          </ranges>
        </level>
      </levels>
      <selections count="1">
        <selection n="[Products].[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C159627A-62D6-4853-9B2B-57DBB9BD3BE9}" sourceName="[PaymentMethods].[PaymentMethod]">
  <pivotTables>
    <pivotTable tabId="1" name="Payment Method"/>
    <pivotTable tabId="1" name="Active Customers"/>
    <pivotTable tabId="1" name="Branch"/>
    <pivotTable tabId="1" name="brand"/>
    <pivotTable tabId="1" name="Months"/>
    <pivotTable tabId="1" name="Total Sales"/>
    <pivotTable tabId="1" name="Category/Brand Sales"/>
  </pivotTables>
  <data>
    <olap pivotCacheId="1650956917">
      <levels count="2">
        <level uniqueName="[PaymentMethods].[PaymentMethod].[(All)]" sourceCaption="(All)" count="0"/>
        <level uniqueName="[PaymentMethods].[PaymentMethod].[PaymentMethod]" sourceCaption="PaymentMethod" count="5">
          <ranges>
            <range startItem="0">
              <i n="[PaymentMethods].[PaymentMethod].&amp;[Bank Transfer]" c="Bank Transfer"/>
              <i n="[PaymentMethods].[PaymentMethod].&amp;[Cash]" c="Cash"/>
              <i n="[PaymentMethods].[PaymentMethod].&amp;[Credit Card]" c="Credit Card"/>
              <i n="[PaymentMethods].[PaymentMethod].&amp;[PayPal]" c="PayPal"/>
              <i n="[PaymentMethods].[PaymentMethod].&amp;[Gift Card]" c="Gift Card" nd="1"/>
            </range>
          </ranges>
        </level>
      </levels>
      <selections count="1">
        <selection n="[PaymentMethods].[Payment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_1" xr10:uid="{02C39B8F-C7F3-4F94-8BAF-DD68973F1D16}" sourceName="[Sales].[Date (Months)]">
  <pivotTables>
    <pivotTable tabId="1" name="Months"/>
    <pivotTable tabId="1" name="Active Customers"/>
    <pivotTable tabId="1" name="Branch"/>
    <pivotTable tabId="1" name="brand"/>
    <pivotTable tabId="1" name="Category/Brand Sales"/>
    <pivotTable tabId="1" name="Payment Method"/>
    <pivotTable tabId="1" name="Total Sales"/>
  </pivotTables>
  <data>
    <olap pivotCacheId="1650956917">
      <levels count="2">
        <level uniqueName="[Sales].[Date (Months)].[(All)]" sourceCaption="(All)" count="0"/>
        <level uniqueName="[Sales].[Date (Months)].[Date (Months)]" sourceCaption="Date (Months)" count="12">
          <ranges>
            <range startItem="0">
              <i n="[Sales].[Date (Months)].&amp;[Jan]" c="Jan"/>
              <i n="[Sales].[Date (Months)].&amp;[Feb]" c="Feb"/>
              <i n="[Sales].[Date (Months)].&amp;[Mar]" c="Mar"/>
              <i n="[Sales].[Date (Months)].&amp;[Apr]" c="Apr"/>
              <i n="[Sales].[Date (Months)].&amp;[May]" c="May"/>
              <i n="[Sales].[Date (Months)].&amp;[Jun]" c="Jun"/>
              <i n="[Sales].[Date (Months)].&amp;[Jul]" c="Jul"/>
              <i n="[Sales].[Date (Months)].&amp;[Aug]" c="Aug"/>
              <i n="[Sales].[Date (Months)].&amp;[Sep]" c="Sep"/>
              <i n="[Sales].[Date (Months)].&amp;[Oct]" c="Oct"/>
              <i n="[Sales].[Date (Months)].&amp;[Nov]" c="Nov"/>
              <i n="[Sales].[Date (Months)].&amp;[Dec]" c="Dec"/>
            </range>
          </ranges>
        </level>
      </levels>
      <selections count="1">
        <selection n="[Sales].[Date (Month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95B0D0B9-1A98-4D14-BA72-92C19C976D73}" cache="Slicer_BranchName" caption="BranchName" level="1" style="SlicerStyleLight3" rowHeight="247650"/>
  <slicer name="Category" xr10:uid="{5E3739DB-74DD-4057-84B6-B694437B9567}" cache="Slicer_Category" caption="Category" level="1" style="SlicerStyleLight3" rowHeight="247650"/>
  <slicer name="Brand 1" xr10:uid="{7B22DE4F-E9F8-4F4A-A0C1-F9A5F7AE9A19}" cache="Slicer_Brand1" caption="Brand" level="1" style="SlicerStyleLight3" rowHeight="247650"/>
  <slicer name="PaymentMethod" xr10:uid="{3BB45033-6627-4D32-AE1E-7DDD913197CB}" cache="Slicer_PaymentMethod" caption="PaymentMethod" level="1" style="SlicerStyleLight3" rowHeight="247650"/>
  <slicer name="Date (Months)" xr10:uid="{2F268961-E20F-47B2-B0E7-8A9844B77DAE}" cache="Slicer_Date__Month_1" caption="Date (Months)" columnCount="6" level="1" style="SlicerStyleLight3" rowHeight="247650"/>
</slicers>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6D67-60C7-4127-BFD4-FF0D03A4FFF9}">
  <dimension ref="B1:O42"/>
  <sheetViews>
    <sheetView showWhiteSpace="0" zoomScaleNormal="100" workbookViewId="0">
      <selection activeCell="D35" sqref="D35"/>
    </sheetView>
  </sheetViews>
  <sheetFormatPr defaultRowHeight="15" x14ac:dyDescent="0.25"/>
  <cols>
    <col min="2" max="2" width="11.7109375" bestFit="1" customWidth="1"/>
    <col min="3" max="4" width="11" bestFit="1" customWidth="1"/>
    <col min="5" max="5" width="18.5703125" bestFit="1" customWidth="1"/>
    <col min="6" max="6" width="11" bestFit="1" customWidth="1"/>
    <col min="7" max="7" width="10" customWidth="1"/>
    <col min="8" max="8" width="11.28515625" bestFit="1" customWidth="1"/>
    <col min="9" max="11" width="11" bestFit="1" customWidth="1"/>
    <col min="12" max="12" width="17.7109375" bestFit="1" customWidth="1"/>
    <col min="13" max="13" width="24.5703125" bestFit="1" customWidth="1"/>
    <col min="14" max="14" width="8.28515625" bestFit="1" customWidth="1"/>
    <col min="15" max="35" width="9.28515625" bestFit="1" customWidth="1"/>
    <col min="36" max="44" width="8.28515625" bestFit="1" customWidth="1"/>
    <col min="45" max="63" width="9.28515625" bestFit="1" customWidth="1"/>
    <col min="64" max="72" width="8.28515625" bestFit="1" customWidth="1"/>
    <col min="73" max="93" width="9.28515625" bestFit="1" customWidth="1"/>
    <col min="94" max="101" width="8.28515625" bestFit="1" customWidth="1"/>
    <col min="102" max="122" width="9.28515625" bestFit="1" customWidth="1"/>
    <col min="123" max="130" width="8.28515625" bestFit="1" customWidth="1"/>
    <col min="131" max="151" width="9.28515625" bestFit="1" customWidth="1"/>
    <col min="152" max="160" width="8.28515625" bestFit="1" customWidth="1"/>
    <col min="161" max="179" width="9.28515625" bestFit="1" customWidth="1"/>
    <col min="180" max="187" width="8.28515625" bestFit="1" customWidth="1"/>
    <col min="188" max="208" width="9.28515625" bestFit="1" customWidth="1"/>
    <col min="209" max="216" width="8.28515625" bestFit="1" customWidth="1"/>
    <col min="217" max="237" width="9.28515625" bestFit="1" customWidth="1"/>
    <col min="238" max="245" width="8.28515625" bestFit="1" customWidth="1"/>
    <col min="246" max="267" width="9.28515625" bestFit="1" customWidth="1"/>
    <col min="268" max="286" width="10.28515625" bestFit="1" customWidth="1"/>
    <col min="287" max="295" width="9.28515625" bestFit="1" customWidth="1"/>
    <col min="296" max="316" width="10.28515625" bestFit="1" customWidth="1"/>
    <col min="317" max="325" width="9.28515625" bestFit="1" customWidth="1"/>
    <col min="326" max="346" width="10.28515625" bestFit="1" customWidth="1"/>
    <col min="347" max="351" width="9.28515625" bestFit="1" customWidth="1"/>
    <col min="352" max="352" width="10.5703125" bestFit="1" customWidth="1"/>
  </cols>
  <sheetData>
    <row r="1" spans="2:15" x14ac:dyDescent="0.25">
      <c r="B1" s="1"/>
      <c r="C1" s="1"/>
      <c r="D1" s="1"/>
      <c r="E1" s="1"/>
      <c r="F1" s="1"/>
      <c r="G1" s="1"/>
    </row>
    <row r="2" spans="2:15" x14ac:dyDescent="0.25">
      <c r="B2" s="2" t="s">
        <v>34</v>
      </c>
      <c r="C2" s="1" t="s">
        <v>0</v>
      </c>
      <c r="D2" s="1"/>
      <c r="E2" s="2" t="s">
        <v>20</v>
      </c>
      <c r="F2" s="1" t="s">
        <v>0</v>
      </c>
      <c r="G2" s="1"/>
      <c r="H2" s="2" t="s">
        <v>33</v>
      </c>
      <c r="I2" s="1" t="s">
        <v>0</v>
      </c>
    </row>
    <row r="3" spans="2:15" x14ac:dyDescent="0.25">
      <c r="B3" s="1" t="s">
        <v>3</v>
      </c>
      <c r="C3" s="3">
        <v>421926.83999999979</v>
      </c>
      <c r="D3" s="1"/>
      <c r="E3" s="1" t="s">
        <v>15</v>
      </c>
      <c r="F3" s="3">
        <v>459630.2099999999</v>
      </c>
      <c r="G3" s="1"/>
      <c r="H3" s="1" t="s">
        <v>22</v>
      </c>
      <c r="I3" s="3">
        <v>259350.49999999997</v>
      </c>
    </row>
    <row r="4" spans="2:15" x14ac:dyDescent="0.25">
      <c r="B4" s="1" t="s">
        <v>5</v>
      </c>
      <c r="C4" s="3">
        <v>507953.16999999981</v>
      </c>
      <c r="D4" s="1"/>
      <c r="E4" s="1" t="s">
        <v>16</v>
      </c>
      <c r="F4" s="3">
        <v>522737.54000000033</v>
      </c>
      <c r="G4" s="1"/>
      <c r="H4" s="1" t="s">
        <v>23</v>
      </c>
      <c r="I4" s="3">
        <v>190456.01</v>
      </c>
      <c r="K4" s="1" t="s">
        <v>1</v>
      </c>
    </row>
    <row r="5" spans="2:15" x14ac:dyDescent="0.25">
      <c r="B5" s="1" t="s">
        <v>2</v>
      </c>
      <c r="C5" s="3">
        <v>529261.13</v>
      </c>
      <c r="D5" s="1"/>
      <c r="E5" s="1" t="s">
        <v>17</v>
      </c>
      <c r="F5" s="3">
        <v>460843.64999999979</v>
      </c>
      <c r="G5" s="1"/>
      <c r="H5" s="1" t="s">
        <v>24</v>
      </c>
      <c r="I5" s="3">
        <v>202966.36000000004</v>
      </c>
      <c r="K5" s="7">
        <v>639</v>
      </c>
    </row>
    <row r="6" spans="2:15" x14ac:dyDescent="0.25">
      <c r="B6" s="1" t="s">
        <v>6</v>
      </c>
      <c r="C6" s="3">
        <v>539468.33000000019</v>
      </c>
      <c r="E6" s="1" t="s">
        <v>18</v>
      </c>
      <c r="F6" s="3">
        <v>663226.18999999959</v>
      </c>
      <c r="G6" s="1"/>
      <c r="H6" s="1" t="s">
        <v>25</v>
      </c>
      <c r="I6" s="3">
        <v>157583.54999999999</v>
      </c>
      <c r="K6" s="1"/>
    </row>
    <row r="7" spans="2:15" x14ac:dyDescent="0.25">
      <c r="B7" s="1" t="s">
        <v>4</v>
      </c>
      <c r="C7" s="3">
        <v>594114.07999999996</v>
      </c>
      <c r="E7" s="1" t="s">
        <v>19</v>
      </c>
      <c r="F7" s="3">
        <v>486285.96</v>
      </c>
      <c r="G7" s="1"/>
      <c r="H7" s="1" t="s">
        <v>26</v>
      </c>
      <c r="I7" s="3">
        <v>222847.92999999993</v>
      </c>
      <c r="K7" s="1"/>
    </row>
    <row r="8" spans="2:15" x14ac:dyDescent="0.25">
      <c r="B8" s="1" t="s">
        <v>7</v>
      </c>
      <c r="C8" s="3">
        <v>2592723.5500000012</v>
      </c>
      <c r="E8" s="1" t="s">
        <v>7</v>
      </c>
      <c r="F8" s="3">
        <v>2592723.5500000012</v>
      </c>
      <c r="G8" s="1"/>
      <c r="H8" s="1" t="s">
        <v>27</v>
      </c>
      <c r="I8" s="3">
        <v>221752.59</v>
      </c>
      <c r="K8" s="1" t="s">
        <v>0</v>
      </c>
    </row>
    <row r="9" spans="2:15" x14ac:dyDescent="0.25">
      <c r="B9" s="1"/>
      <c r="C9" s="1"/>
      <c r="E9" s="1"/>
      <c r="F9" s="1"/>
      <c r="G9" s="1"/>
      <c r="H9" s="1" t="s">
        <v>28</v>
      </c>
      <c r="I9" s="3">
        <v>281249.91000000015</v>
      </c>
      <c r="K9" s="7">
        <v>2592723.5500000012</v>
      </c>
    </row>
    <row r="10" spans="2:15" x14ac:dyDescent="0.25">
      <c r="B10" s="1"/>
      <c r="C10" s="1"/>
      <c r="D10" s="1"/>
      <c r="H10" s="1" t="s">
        <v>29</v>
      </c>
      <c r="I10" s="3">
        <v>216192.30000000002</v>
      </c>
      <c r="J10" s="1"/>
    </row>
    <row r="11" spans="2:15" x14ac:dyDescent="0.25">
      <c r="B11" s="2" t="s">
        <v>35</v>
      </c>
      <c r="C11" s="1" t="s">
        <v>0</v>
      </c>
      <c r="E11" s="4" t="s">
        <v>36</v>
      </c>
      <c r="F11" t="s">
        <v>0</v>
      </c>
      <c r="H11" s="1" t="s">
        <v>30</v>
      </c>
      <c r="I11" s="3">
        <v>202304.53000000003</v>
      </c>
      <c r="J11" s="1"/>
    </row>
    <row r="12" spans="2:15" x14ac:dyDescent="0.25">
      <c r="B12" s="1" t="s">
        <v>12</v>
      </c>
      <c r="C12" s="3"/>
      <c r="E12" s="5" t="s">
        <v>10</v>
      </c>
      <c r="F12" s="6">
        <v>569751.57000000018</v>
      </c>
      <c r="H12" s="1" t="s">
        <v>31</v>
      </c>
      <c r="I12" s="3">
        <v>242099.27000000005</v>
      </c>
      <c r="J12" s="1"/>
    </row>
    <row r="13" spans="2:15" x14ac:dyDescent="0.25">
      <c r="B13" s="8" t="s">
        <v>15</v>
      </c>
      <c r="C13" s="3">
        <v>59908.9</v>
      </c>
      <c r="E13" s="5" t="s">
        <v>8</v>
      </c>
      <c r="F13" s="6">
        <v>595772.86999999988</v>
      </c>
      <c r="H13" s="1" t="s">
        <v>32</v>
      </c>
      <c r="I13" s="3">
        <v>196139.18</v>
      </c>
      <c r="J13" s="1"/>
    </row>
    <row r="14" spans="2:15" x14ac:dyDescent="0.25">
      <c r="B14" s="8" t="s">
        <v>16</v>
      </c>
      <c r="C14" s="3">
        <v>109085.67999999998</v>
      </c>
      <c r="E14" s="5" t="s">
        <v>9</v>
      </c>
      <c r="F14" s="6">
        <v>666780.05999999982</v>
      </c>
      <c r="H14" s="1" t="s">
        <v>21</v>
      </c>
      <c r="I14" s="3">
        <v>199781.41999999998</v>
      </c>
      <c r="J14" s="1"/>
      <c r="K14" s="1"/>
      <c r="M14" s="1"/>
      <c r="N14" s="1"/>
      <c r="O14" s="1"/>
    </row>
    <row r="15" spans="2:15" x14ac:dyDescent="0.25">
      <c r="B15" s="8" t="s">
        <v>17</v>
      </c>
      <c r="C15" s="3">
        <v>98867.26999999999</v>
      </c>
      <c r="E15" s="5" t="s">
        <v>11</v>
      </c>
      <c r="F15" s="6">
        <v>760419.04999999946</v>
      </c>
      <c r="H15" s="1" t="s">
        <v>7</v>
      </c>
      <c r="I15" s="3">
        <v>2592723.5500000012</v>
      </c>
      <c r="J15" s="1"/>
      <c r="O15" s="1"/>
    </row>
    <row r="16" spans="2:15" x14ac:dyDescent="0.25">
      <c r="B16" s="8" t="s">
        <v>18</v>
      </c>
      <c r="C16" s="3">
        <v>90361.790000000008</v>
      </c>
      <c r="E16" s="5" t="s">
        <v>7</v>
      </c>
      <c r="F16" s="6">
        <v>2592723.5500000012</v>
      </c>
      <c r="J16" s="1"/>
      <c r="O16" s="1"/>
    </row>
    <row r="17" spans="2:15" x14ac:dyDescent="0.25">
      <c r="B17" s="8" t="s">
        <v>19</v>
      </c>
      <c r="C17" s="3">
        <v>98235.099999999991</v>
      </c>
      <c r="J17" s="1"/>
      <c r="O17" s="1"/>
    </row>
    <row r="18" spans="2:15" x14ac:dyDescent="0.25">
      <c r="B18" s="1" t="s">
        <v>37</v>
      </c>
      <c r="C18" s="3"/>
      <c r="J18" s="1"/>
      <c r="O18" s="1"/>
    </row>
    <row r="19" spans="2:15" x14ac:dyDescent="0.25">
      <c r="B19" s="8" t="s">
        <v>15</v>
      </c>
      <c r="C19" s="3">
        <v>120572.51000000004</v>
      </c>
      <c r="D19" s="1"/>
      <c r="J19" s="1"/>
      <c r="O19" s="1"/>
    </row>
    <row r="20" spans="2:15" x14ac:dyDescent="0.25">
      <c r="B20" s="8" t="s">
        <v>16</v>
      </c>
      <c r="C20" s="3">
        <v>85397.08</v>
      </c>
      <c r="D20" s="1"/>
      <c r="J20" s="1"/>
      <c r="O20" s="1"/>
    </row>
    <row r="21" spans="2:15" x14ac:dyDescent="0.25">
      <c r="B21" s="8" t="s">
        <v>17</v>
      </c>
      <c r="C21" s="3">
        <v>72600.19</v>
      </c>
      <c r="D21" s="1"/>
      <c r="J21" s="1"/>
      <c r="O21" s="1"/>
    </row>
    <row r="22" spans="2:15" x14ac:dyDescent="0.25">
      <c r="B22" s="8" t="s">
        <v>18</v>
      </c>
      <c r="C22" s="3">
        <v>183490.96999999997</v>
      </c>
      <c r="J22" s="1"/>
      <c r="O22" s="1"/>
    </row>
    <row r="23" spans="2:15" x14ac:dyDescent="0.25">
      <c r="B23" s="8" t="s">
        <v>19</v>
      </c>
      <c r="C23" s="3">
        <v>90667.12999999999</v>
      </c>
      <c r="J23" s="1"/>
      <c r="O23" s="1"/>
    </row>
    <row r="24" spans="2:15" x14ac:dyDescent="0.25">
      <c r="B24" s="1" t="s">
        <v>38</v>
      </c>
      <c r="C24" s="3"/>
      <c r="J24" s="1"/>
      <c r="O24" s="1"/>
    </row>
    <row r="25" spans="2:15" x14ac:dyDescent="0.25">
      <c r="B25" s="8" t="s">
        <v>15</v>
      </c>
      <c r="C25" s="3">
        <v>112346.43</v>
      </c>
      <c r="J25" s="1"/>
      <c r="O25" s="1"/>
    </row>
    <row r="26" spans="2:15" x14ac:dyDescent="0.25">
      <c r="B26" s="8" t="s">
        <v>16</v>
      </c>
      <c r="C26" s="3">
        <v>177019.99999999994</v>
      </c>
      <c r="J26" s="1"/>
      <c r="O26" s="1"/>
    </row>
    <row r="27" spans="2:15" x14ac:dyDescent="0.25">
      <c r="B27" s="8" t="s">
        <v>17</v>
      </c>
      <c r="C27" s="3">
        <v>97832.34</v>
      </c>
      <c r="O27" s="1"/>
    </row>
    <row r="28" spans="2:15" x14ac:dyDescent="0.25">
      <c r="B28" s="8" t="s">
        <v>18</v>
      </c>
      <c r="C28" s="3">
        <v>127352.03000000003</v>
      </c>
      <c r="O28" s="1"/>
    </row>
    <row r="29" spans="2:15" x14ac:dyDescent="0.25">
      <c r="B29" s="8" t="s">
        <v>19</v>
      </c>
      <c r="C29" s="3">
        <v>108041.32</v>
      </c>
      <c r="M29" s="1"/>
      <c r="N29" s="1"/>
      <c r="O29" s="1"/>
    </row>
    <row r="30" spans="2:15" x14ac:dyDescent="0.25">
      <c r="B30" s="1" t="s">
        <v>13</v>
      </c>
      <c r="C30" s="3"/>
    </row>
    <row r="31" spans="2:15" x14ac:dyDescent="0.25">
      <c r="B31" s="8" t="s">
        <v>15</v>
      </c>
      <c r="C31" s="3">
        <v>70858.48</v>
      </c>
    </row>
    <row r="32" spans="2:15" x14ac:dyDescent="0.25">
      <c r="B32" s="8" t="s">
        <v>16</v>
      </c>
      <c r="C32" s="3">
        <v>80738.419999999984</v>
      </c>
    </row>
    <row r="33" spans="2:3" x14ac:dyDescent="0.25">
      <c r="B33" s="8" t="s">
        <v>17</v>
      </c>
      <c r="C33" s="3">
        <v>89485.639999999985</v>
      </c>
    </row>
    <row r="34" spans="2:3" x14ac:dyDescent="0.25">
      <c r="B34" s="8" t="s">
        <v>18</v>
      </c>
      <c r="C34" s="3">
        <v>108201.19</v>
      </c>
    </row>
    <row r="35" spans="2:3" x14ac:dyDescent="0.25">
      <c r="B35" s="8" t="s">
        <v>19</v>
      </c>
      <c r="C35" s="3">
        <v>92367.119999999981</v>
      </c>
    </row>
    <row r="36" spans="2:3" x14ac:dyDescent="0.25">
      <c r="B36" s="1" t="s">
        <v>14</v>
      </c>
      <c r="C36" s="3"/>
    </row>
    <row r="37" spans="2:3" x14ac:dyDescent="0.25">
      <c r="B37" s="8" t="s">
        <v>15</v>
      </c>
      <c r="C37" s="3">
        <v>95943.890000000029</v>
      </c>
    </row>
    <row r="38" spans="2:3" x14ac:dyDescent="0.25">
      <c r="B38" s="8" t="s">
        <v>16</v>
      </c>
      <c r="C38" s="3">
        <v>70496.360000000015</v>
      </c>
    </row>
    <row r="39" spans="2:3" x14ac:dyDescent="0.25">
      <c r="B39" s="8" t="s">
        <v>17</v>
      </c>
      <c r="C39" s="3">
        <v>102058.21000000002</v>
      </c>
    </row>
    <row r="40" spans="2:3" x14ac:dyDescent="0.25">
      <c r="B40" s="8" t="s">
        <v>18</v>
      </c>
      <c r="C40" s="3">
        <v>153820.21</v>
      </c>
    </row>
    <row r="41" spans="2:3" x14ac:dyDescent="0.25">
      <c r="B41" s="8" t="s">
        <v>19</v>
      </c>
      <c r="C41" s="3">
        <v>96975.290000000008</v>
      </c>
    </row>
    <row r="42" spans="2:3" x14ac:dyDescent="0.25">
      <c r="B42" s="1" t="s">
        <v>7</v>
      </c>
      <c r="C42" s="3">
        <v>2592723.5500000012</v>
      </c>
    </row>
  </sheetData>
  <phoneticPr fontId="2" type="noConversion"/>
  <pageMargins left="0.7" right="0.7" top="0.75" bottom="0.75" header="0.3" footer="0.3"/>
  <pageSetup scale="84"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B8FB-6545-4071-9F96-9A0C0F1D1207}">
  <dimension ref="G1:R30"/>
  <sheetViews>
    <sheetView tabSelected="1" zoomScale="120" zoomScaleNormal="120" workbookViewId="0">
      <selection activeCell="H1" sqref="H1:R4"/>
    </sheetView>
  </sheetViews>
  <sheetFormatPr defaultColWidth="8.85546875" defaultRowHeight="15" x14ac:dyDescent="0.25"/>
  <cols>
    <col min="1" max="16384" width="8.85546875" style="9"/>
  </cols>
  <sheetData>
    <row r="1" spans="7:18" ht="14.45" customHeight="1" x14ac:dyDescent="0.25">
      <c r="G1" s="11"/>
      <c r="H1" s="12" t="s">
        <v>39</v>
      </c>
      <c r="I1" s="12"/>
      <c r="J1" s="12"/>
      <c r="K1" s="12"/>
      <c r="L1" s="12"/>
      <c r="M1" s="12"/>
      <c r="N1" s="12"/>
      <c r="O1" s="12"/>
      <c r="P1" s="12"/>
      <c r="Q1" s="12"/>
      <c r="R1" s="12"/>
    </row>
    <row r="2" spans="7:18" ht="14.45" customHeight="1" x14ac:dyDescent="0.25">
      <c r="G2" s="11"/>
      <c r="H2" s="12"/>
      <c r="I2" s="12"/>
      <c r="J2" s="12"/>
      <c r="K2" s="12"/>
      <c r="L2" s="12"/>
      <c r="M2" s="12"/>
      <c r="N2" s="12"/>
      <c r="O2" s="12"/>
      <c r="P2" s="12"/>
      <c r="Q2" s="12"/>
      <c r="R2" s="12"/>
    </row>
    <row r="3" spans="7:18" ht="14.45" customHeight="1" x14ac:dyDescent="0.25">
      <c r="G3" s="11"/>
      <c r="H3" s="12"/>
      <c r="I3" s="12"/>
      <c r="J3" s="12"/>
      <c r="K3" s="12"/>
      <c r="L3" s="12"/>
      <c r="M3" s="12"/>
      <c r="N3" s="12"/>
      <c r="O3" s="12"/>
      <c r="P3" s="12"/>
      <c r="Q3" s="12"/>
      <c r="R3" s="12"/>
    </row>
    <row r="4" spans="7:18" ht="14.45" customHeight="1" x14ac:dyDescent="0.25">
      <c r="G4" s="11"/>
      <c r="H4" s="12"/>
      <c r="I4" s="12"/>
      <c r="J4" s="12"/>
      <c r="K4" s="12"/>
      <c r="L4" s="12"/>
      <c r="M4" s="12"/>
      <c r="N4" s="12"/>
      <c r="O4" s="12"/>
      <c r="P4" s="12"/>
      <c r="Q4" s="12"/>
      <c r="R4" s="12"/>
    </row>
    <row r="30" spans="13:13" x14ac:dyDescent="0.25">
      <c r="M30" s="10"/>
    </row>
  </sheetData>
  <mergeCells count="1">
    <mergeCell ref="H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FFEB059-3CAE-4953-BB13-A0258EB56224}">
  <ds:schemaRefs>
    <ds:schemaRef ds:uri="http://schemas.microsoft.com/DataMashup"/>
  </ds:schemaRefs>
</ds:datastoreItem>
</file>

<file path=customXml/itemProps2.xml><?xml version="1.0" encoding="utf-8"?>
<ds:datastoreItem xmlns:ds="http://schemas.openxmlformats.org/officeDocument/2006/customXml" ds:itemID="{EAE46E98-F95C-462D-9E3F-498066BE45D7}">
  <ds:schemaRefs/>
</ds:datastoreItem>
</file>

<file path=customXml/itemProps3.xml><?xml version="1.0" encoding="utf-8"?>
<ds:datastoreItem xmlns:ds="http://schemas.openxmlformats.org/officeDocument/2006/customXml" ds:itemID="{F0293683-4713-49D2-977E-EB3272EC3D81}">
  <ds:schemaRefs/>
</ds:datastoreItem>
</file>

<file path=customXml/itemProps4.xml><?xml version="1.0" encoding="utf-8"?>
<ds:datastoreItem xmlns:ds="http://schemas.openxmlformats.org/officeDocument/2006/customXml" ds:itemID="{562C04BF-18B9-4646-B201-BA34BCD7ACC6}">
  <ds:schemaRefs/>
</ds:datastoreItem>
</file>

<file path=customXml/itemProps5.xml><?xml version="1.0" encoding="utf-8"?>
<ds:datastoreItem xmlns:ds="http://schemas.openxmlformats.org/officeDocument/2006/customXml" ds:itemID="{4049B75A-F54E-43F0-B482-4022AD10C850}">
  <ds:schemaRefs/>
</ds:datastoreItem>
</file>

<file path=customXml/itemProps6.xml><?xml version="1.0" encoding="utf-8"?>
<ds:datastoreItem xmlns:ds="http://schemas.openxmlformats.org/officeDocument/2006/customXml" ds:itemID="{072DE79F-164B-4425-9253-E30CF2FDA536}">
  <ds:schemaRefs/>
</ds:datastoreItem>
</file>

<file path=customXml/itemProps7.xml><?xml version="1.0" encoding="utf-8"?>
<ds:datastoreItem xmlns:ds="http://schemas.openxmlformats.org/officeDocument/2006/customXml" ds:itemID="{ACE350AF-4D6A-4AD3-B30D-D2DB8DA1801B}">
  <ds:schemaRefs/>
</ds:datastoreItem>
</file>

<file path=customXml/itemProps8.xml><?xml version="1.0" encoding="utf-8"?>
<ds:datastoreItem xmlns:ds="http://schemas.openxmlformats.org/officeDocument/2006/customXml" ds:itemID="{EB94E693-CAAA-415C-8AAC-BB4E57BC7723}">
  <ds:schemaRefs/>
</ds:datastoreItem>
</file>

<file path=customXml/itemProps9.xml><?xml version="1.0" encoding="utf-8"?>
<ds:datastoreItem xmlns:ds="http://schemas.openxmlformats.org/officeDocument/2006/customXml" ds:itemID="{6701084E-FD6B-4F49-A22F-DF4B1F2653BA}">
  <ds:schemaRefs/>
</ds:datastoreItem>
</file>

<file path=customXml/itemProps10.xml><?xml version="1.0" encoding="utf-8"?>
<ds:datastoreItem xmlns:ds="http://schemas.openxmlformats.org/officeDocument/2006/customXml" ds:itemID="{73CC428C-B16D-4013-A4A6-525E234D896B}">
  <ds:schemaRefs/>
</ds:datastoreItem>
</file>

<file path=customXml/itemProps11.xml><?xml version="1.0" encoding="utf-8"?>
<ds:datastoreItem xmlns:ds="http://schemas.openxmlformats.org/officeDocument/2006/customXml" ds:itemID="{1E16ABAD-4BA1-41CB-AAC7-513FA47A248E}">
  <ds:schemaRefs/>
</ds:datastoreItem>
</file>

<file path=customXml/itemProps12.xml><?xml version="1.0" encoding="utf-8"?>
<ds:datastoreItem xmlns:ds="http://schemas.openxmlformats.org/officeDocument/2006/customXml" ds:itemID="{49C7ECD0-C0CC-4077-8AD0-89F36256F01F}">
  <ds:schemaRefs/>
</ds:datastoreItem>
</file>

<file path=customXml/itemProps13.xml><?xml version="1.0" encoding="utf-8"?>
<ds:datastoreItem xmlns:ds="http://schemas.openxmlformats.org/officeDocument/2006/customXml" ds:itemID="{9AB09594-9100-4A19-8FEE-EA450CFA4D4F}">
  <ds:schemaRefs/>
</ds:datastoreItem>
</file>

<file path=customXml/itemProps14.xml><?xml version="1.0" encoding="utf-8"?>
<ds:datastoreItem xmlns:ds="http://schemas.openxmlformats.org/officeDocument/2006/customXml" ds:itemID="{8B5B034C-F0AA-4A6D-BA9A-EBB4C62BA30F}">
  <ds:schemaRefs/>
</ds:datastoreItem>
</file>

<file path=customXml/itemProps15.xml><?xml version="1.0" encoding="utf-8"?>
<ds:datastoreItem xmlns:ds="http://schemas.openxmlformats.org/officeDocument/2006/customXml" ds:itemID="{4BC84B25-89A8-4166-A6A6-C94B40488A39}">
  <ds:schemaRefs/>
</ds:datastoreItem>
</file>

<file path=customXml/itemProps16.xml><?xml version="1.0" encoding="utf-8"?>
<ds:datastoreItem xmlns:ds="http://schemas.openxmlformats.org/officeDocument/2006/customXml" ds:itemID="{6EC8FCE8-1B0E-4C2C-8E82-AF97316ECE3B}">
  <ds:schemaRefs/>
</ds:datastoreItem>
</file>

<file path=customXml/itemProps17.xml><?xml version="1.0" encoding="utf-8"?>
<ds:datastoreItem xmlns:ds="http://schemas.openxmlformats.org/officeDocument/2006/customXml" ds:itemID="{BBE6B9DB-EBFD-4837-9ED9-68CC9FE51A52}">
  <ds:schemaRefs/>
</ds:datastoreItem>
</file>

<file path=customXml/itemProps18.xml><?xml version="1.0" encoding="utf-8"?>
<ds:datastoreItem xmlns:ds="http://schemas.openxmlformats.org/officeDocument/2006/customXml" ds:itemID="{FC150F93-7598-42FE-8F73-10122984F7F1}">
  <ds:schemaRefs/>
</ds:datastoreItem>
</file>

<file path=customXml/itemProps19.xml><?xml version="1.0" encoding="utf-8"?>
<ds:datastoreItem xmlns:ds="http://schemas.openxmlformats.org/officeDocument/2006/customXml" ds:itemID="{1D0C7D17-93B9-4697-8776-744BCF907437}">
  <ds:schemaRefs/>
</ds:datastoreItem>
</file>

<file path=customXml/itemProps20.xml><?xml version="1.0" encoding="utf-8"?>
<ds:datastoreItem xmlns:ds="http://schemas.openxmlformats.org/officeDocument/2006/customXml" ds:itemID="{F5ACC946-BFDC-48E4-B76F-DADF1B7DBD58}">
  <ds:schemaRefs/>
</ds:datastoreItem>
</file>

<file path=customXml/itemProps21.xml><?xml version="1.0" encoding="utf-8"?>
<ds:datastoreItem xmlns:ds="http://schemas.openxmlformats.org/officeDocument/2006/customXml" ds:itemID="{42456D3D-B7D9-4B4A-B060-ABBBA4D3B14E}">
  <ds:schemaRefs/>
</ds:datastoreItem>
</file>

<file path=customXml/itemProps22.xml><?xml version="1.0" encoding="utf-8"?>
<ds:datastoreItem xmlns:ds="http://schemas.openxmlformats.org/officeDocument/2006/customXml" ds:itemID="{4B778F12-AC57-457D-B0CC-6C62B3D9D626}">
  <ds:schemaRefs/>
</ds:datastoreItem>
</file>

<file path=customXml/itemProps23.xml><?xml version="1.0" encoding="utf-8"?>
<ds:datastoreItem xmlns:ds="http://schemas.openxmlformats.org/officeDocument/2006/customXml" ds:itemID="{3552CF2F-C874-4761-BF8F-A4060E0EAE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Conclusions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Ctrl-Halim</dc:creator>
  <cp:lastModifiedBy>Ctrl-Halim</cp:lastModifiedBy>
  <dcterms:created xsi:type="dcterms:W3CDTF">2025-09-27T00:14:04Z</dcterms:created>
  <dcterms:modified xsi:type="dcterms:W3CDTF">2026-08-06T04:08:25Z</dcterms:modified>
</cp:coreProperties>
</file>